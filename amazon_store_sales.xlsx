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8c3d9bea77c1d5f/Documents/"/>
    </mc:Choice>
  </mc:AlternateContent>
  <xr:revisionPtr revIDLastSave="0" documentId="8_{D2D13057-0443-4ED4-A18F-A96CEDD456AC}" xr6:coauthVersionLast="47" xr6:coauthVersionMax="47" xr10:uidLastSave="{00000000-0000-0000-0000-000000000000}"/>
  <bookViews>
    <workbookView xWindow="-108" yWindow="-108" windowWidth="23256" windowHeight="12456" xr2:uid="{792C3488-82BF-4C34-935D-52C642D69156}"/>
  </bookViews>
  <sheets>
    <sheet name="amazon-sales-analytics-dashboar" sheetId="5" r:id="rId1"/>
    <sheet name="amazon_store_sales_2022 (1)" sheetId="2" r:id="rId2"/>
    <sheet name="Detail1" sheetId="6" r:id="rId3"/>
    <sheet name="Sheet1" sheetId="3" r:id="rId4"/>
    <sheet name="Sheet2" sheetId="4" r:id="rId5"/>
    <sheet name="Sheet4" sheetId="7" r:id="rId6"/>
    <sheet name="Sheet5" sheetId="8" r:id="rId7"/>
    <sheet name="amazon_store_sales_2022" sheetId="1" r:id="rId8"/>
  </sheets>
  <definedNames>
    <definedName name="ExternalData_1" localSheetId="1" hidden="1">'amazon_store_sales_2022 (1)'!$A$1:$I$501</definedName>
    <definedName name="Slicer_DiscuntRange">#N/A</definedName>
    <definedName name="Slicer_ProductCategory">#N/A</definedName>
    <definedName name="Slicer_Region">#N/A</definedName>
    <definedName name="Slicer_Year">#N/A</definedName>
  </definedNames>
  <calcPr calcId="191029"/>
  <pivotCaches>
    <pivotCache cacheId="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a="1"/>
  <c r="A1" i="4" s="1"/>
  <c r="O2" i="2" a="1"/>
  <c r="O2" i="2" s="1"/>
  <c r="O3" i="2" a="1"/>
  <c r="O3" i="2" s="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c r="O19" i="2" a="1"/>
  <c r="O19" i="2"/>
  <c r="O20" i="2" a="1"/>
  <c r="O20" i="2" s="1"/>
  <c r="O21" i="2" a="1"/>
  <c r="O21" i="2" s="1"/>
  <c r="O22" i="2" a="1"/>
  <c r="O22" i="2" s="1"/>
  <c r="O23" i="2" a="1"/>
  <c r="O23" i="2" s="1"/>
  <c r="O24" i="2" a="1"/>
  <c r="O24" i="2"/>
  <c r="O25" i="2" a="1"/>
  <c r="O25" i="2" s="1"/>
  <c r="O26" i="2" a="1"/>
  <c r="O26" i="2" s="1"/>
  <c r="O27" i="2" a="1"/>
  <c r="O27" i="2" s="1"/>
  <c r="O28" i="2" a="1"/>
  <c r="O28" i="2" s="1"/>
  <c r="O29" i="2" a="1"/>
  <c r="O29" i="2" s="1"/>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s="1"/>
  <c r="O46" i="2" a="1"/>
  <c r="O46" i="2" s="1"/>
  <c r="O47" i="2" a="1"/>
  <c r="O47" i="2" s="1"/>
  <c r="O48" i="2" a="1"/>
  <c r="O48" i="2" s="1"/>
  <c r="O49" i="2" a="1"/>
  <c r="O49" i="2" s="1"/>
  <c r="O50" i="2" a="1"/>
  <c r="O50" i="2" s="1"/>
  <c r="O51" i="2" a="1"/>
  <c r="O51" i="2" s="1"/>
  <c r="O52" i="2" a="1"/>
  <c r="O52" i="2" s="1"/>
  <c r="O53" i="2" a="1"/>
  <c r="O53" i="2" s="1"/>
  <c r="O54" i="2" a="1"/>
  <c r="O54" i="2"/>
  <c r="O55" i="2" a="1"/>
  <c r="O55" i="2" s="1"/>
  <c r="O56" i="2" a="1"/>
  <c r="O56" i="2" s="1"/>
  <c r="O57" i="2" a="1"/>
  <c r="O57" i="2" s="1"/>
  <c r="O58" i="2" a="1"/>
  <c r="O58" i="2" s="1"/>
  <c r="O59" i="2" a="1"/>
  <c r="O59" i="2"/>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s="1"/>
  <c r="O76" i="2" a="1"/>
  <c r="O76" i="2" s="1"/>
  <c r="O77" i="2" a="1"/>
  <c r="O77" i="2" s="1"/>
  <c r="O78" i="2" a="1"/>
  <c r="O78" i="2"/>
  <c r="O79" i="2" a="1"/>
  <c r="O79" i="2" s="1"/>
  <c r="O80" i="2" a="1"/>
  <c r="O80" i="2" s="1"/>
  <c r="O81" i="2" a="1"/>
  <c r="O81" i="2" s="1"/>
  <c r="O82" i="2" a="1"/>
  <c r="O82" i="2" s="1"/>
  <c r="O83" i="2" a="1"/>
  <c r="O83" i="2" s="1"/>
  <c r="O84" i="2" a="1"/>
  <c r="O84" i="2" s="1"/>
  <c r="O85" i="2" a="1"/>
  <c r="O85" i="2"/>
  <c r="O86" i="2" a="1"/>
  <c r="O86" i="2" s="1"/>
  <c r="O87" i="2" a="1"/>
  <c r="O87" i="2" s="1"/>
  <c r="O88" i="2" a="1"/>
  <c r="O88" i="2" s="1"/>
  <c r="O89" i="2" a="1"/>
  <c r="O89" i="2" s="1"/>
  <c r="O90" i="2" a="1"/>
  <c r="O90" i="2" s="1"/>
  <c r="O91" i="2" a="1"/>
  <c r="O91" i="2"/>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c r="O122" i="2" a="1"/>
  <c r="O122" i="2" s="1"/>
  <c r="O123" i="2" a="1"/>
  <c r="O123" i="2" s="1"/>
  <c r="O124" i="2" a="1"/>
  <c r="O124" i="2" s="1"/>
  <c r="O125" i="2" a="1"/>
  <c r="O125" i="2" s="1"/>
  <c r="O126" i="2" a="1"/>
  <c r="O126" i="2"/>
  <c r="O127" i="2" a="1"/>
  <c r="O127" i="2" s="1"/>
  <c r="O128" i="2" a="1"/>
  <c r="O128" i="2" s="1"/>
  <c r="O129" i="2" a="1"/>
  <c r="O129" i="2" s="1"/>
  <c r="O130" i="2" a="1"/>
  <c r="O130" i="2" s="1"/>
  <c r="O131" i="2" a="1"/>
  <c r="O131" i="2"/>
  <c r="O132" i="2" a="1"/>
  <c r="O132" i="2" s="1"/>
  <c r="O133" i="2" a="1"/>
  <c r="O133" i="2" s="1"/>
  <c r="O134" i="2" a="1"/>
  <c r="O134" i="2" s="1"/>
  <c r="O135" i="2" a="1"/>
  <c r="O135" i="2" s="1"/>
  <c r="O136" i="2" a="1"/>
  <c r="O136" i="2" s="1"/>
  <c r="O137" i="2" a="1"/>
  <c r="O137" i="2" s="1"/>
  <c r="O138" i="2" a="1"/>
  <c r="O138" i="2" s="1"/>
  <c r="O139" i="2" a="1"/>
  <c r="O139" i="2" s="1"/>
  <c r="O140" i="2" a="1"/>
  <c r="O140" i="2" s="1"/>
  <c r="O141" i="2" a="1"/>
  <c r="O141" i="2" s="1"/>
  <c r="O142" i="2" a="1"/>
  <c r="O142" i="2" s="1"/>
  <c r="O143" i="2" a="1"/>
  <c r="O143" i="2" s="1"/>
  <c r="O144" i="2" a="1"/>
  <c r="O144" i="2"/>
  <c r="O145" i="2" a="1"/>
  <c r="O145" i="2"/>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c r="O164" i="2" a="1"/>
  <c r="O164" i="2" s="1"/>
  <c r="O165" i="2" a="1"/>
  <c r="O165" i="2" s="1"/>
  <c r="O166" i="2" a="1"/>
  <c r="O166" i="2" s="1"/>
  <c r="O167" i="2" a="1"/>
  <c r="O167" i="2" s="1"/>
  <c r="O168" i="2" a="1"/>
  <c r="O168" i="2" s="1"/>
  <c r="O169" i="2" a="1"/>
  <c r="O169" i="2" s="1"/>
  <c r="O170" i="2" a="1"/>
  <c r="O170" i="2" s="1"/>
  <c r="O171" i="2" a="1"/>
  <c r="O171" i="2" s="1"/>
  <c r="O172" i="2" a="1"/>
  <c r="O172" i="2" s="1"/>
  <c r="O173" i="2" a="1"/>
  <c r="O173" i="2" s="1"/>
  <c r="O174" i="2" a="1"/>
  <c r="O174" i="2" s="1"/>
  <c r="O175" i="2" a="1"/>
  <c r="O175" i="2" s="1"/>
  <c r="O176" i="2" a="1"/>
  <c r="O176" i="2" s="1"/>
  <c r="O177" i="2" a="1"/>
  <c r="O177" i="2" s="1"/>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c r="O234" i="2" a="1"/>
  <c r="O234" i="2"/>
  <c r="O235" i="2" a="1"/>
  <c r="O235" i="2" s="1"/>
  <c r="O236" i="2" a="1"/>
  <c r="O236" i="2" s="1"/>
  <c r="O237" i="2" a="1"/>
  <c r="O237" i="2" s="1"/>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c r="O308" i="2" a="1"/>
  <c r="O308" i="2" s="1"/>
  <c r="O309" i="2" a="1"/>
  <c r="O309" i="2" s="1"/>
  <c r="O310" i="2" a="1"/>
  <c r="O310" i="2" s="1"/>
  <c r="O311" i="2" a="1"/>
  <c r="O311" i="2" s="1"/>
  <c r="O312" i="2" a="1"/>
  <c r="O312" i="2"/>
  <c r="O313" i="2" a="1"/>
  <c r="O313" i="2" s="1"/>
  <c r="O314" i="2" a="1"/>
  <c r="O314" i="2" s="1"/>
  <c r="O315" i="2" a="1"/>
  <c r="O315" i="2" s="1"/>
  <c r="O316" i="2" a="1"/>
  <c r="O316" i="2" s="1"/>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s="1"/>
  <c r="O335" i="2" a="1"/>
  <c r="O335" i="2" s="1"/>
  <c r="O336" i="2" a="1"/>
  <c r="O336" i="2" s="1"/>
  <c r="O337" i="2" a="1"/>
  <c r="O337" i="2"/>
  <c r="O338" i="2" a="1"/>
  <c r="O338" i="2" s="1"/>
  <c r="O339" i="2" a="1"/>
  <c r="O339" i="2" s="1"/>
  <c r="O340" i="2" a="1"/>
  <c r="O340" i="2" s="1"/>
  <c r="O341" i="2" a="1"/>
  <c r="O341" i="2" s="1"/>
  <c r="O342" i="2" a="1"/>
  <c r="O342" i="2" s="1"/>
  <c r="O343" i="2" a="1"/>
  <c r="O343" i="2" s="1"/>
  <c r="O344" i="2" a="1"/>
  <c r="O344" i="2" s="1"/>
  <c r="O345" i="2" a="1"/>
  <c r="O345" i="2" s="1"/>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c r="O361" i="2" a="1"/>
  <c r="O361" i="2"/>
  <c r="O362" i="2" a="1"/>
  <c r="O362" i="2" s="1"/>
  <c r="O363" i="2" a="1"/>
  <c r="O363" i="2" s="1"/>
  <c r="O364" i="2" a="1"/>
  <c r="O364" i="2" s="1"/>
  <c r="O365" i="2" a="1"/>
  <c r="O365" i="2" s="1"/>
  <c r="O366" i="2" a="1"/>
  <c r="O366" i="2"/>
  <c r="O367" i="2" a="1"/>
  <c r="O367" i="2" s="1"/>
  <c r="O368" i="2" a="1"/>
  <c r="O368" i="2" s="1"/>
  <c r="O369" i="2" a="1"/>
  <c r="O369" i="2" s="1"/>
  <c r="O370" i="2" a="1"/>
  <c r="O370" i="2" s="1"/>
  <c r="O371" i="2" a="1"/>
  <c r="O371" i="2"/>
  <c r="O372" i="2" a="1"/>
  <c r="O372" i="2" s="1"/>
  <c r="O373" i="2" a="1"/>
  <c r="O373" i="2" s="1"/>
  <c r="O374" i="2" a="1"/>
  <c r="O374" i="2" s="1"/>
  <c r="O375" i="2" a="1"/>
  <c r="O375" i="2" s="1"/>
  <c r="O376" i="2" a="1"/>
  <c r="O376" i="2" s="1"/>
  <c r="O377" i="2" a="1"/>
  <c r="O377" i="2" s="1"/>
  <c r="O378" i="2" a="1"/>
  <c r="O378" i="2" s="1"/>
  <c r="O379" i="2" a="1"/>
  <c r="O379" i="2"/>
  <c r="O380" i="2" a="1"/>
  <c r="O380" i="2" s="1"/>
  <c r="O381" i="2" a="1"/>
  <c r="O381" i="2" s="1"/>
  <c r="O382" i="2" a="1"/>
  <c r="O382" i="2" s="1"/>
  <c r="O383" i="2" a="1"/>
  <c r="O383" i="2" s="1"/>
  <c r="O384" i="2" a="1"/>
  <c r="O384" i="2" s="1"/>
  <c r="O385" i="2" a="1"/>
  <c r="O385" i="2"/>
  <c r="O386" i="2" a="1"/>
  <c r="O386" i="2" s="1"/>
  <c r="O387" i="2" a="1"/>
  <c r="O387" i="2" s="1"/>
  <c r="O388" i="2" a="1"/>
  <c r="O388" i="2" s="1"/>
  <c r="O389" i="2" a="1"/>
  <c r="O389" i="2" s="1"/>
  <c r="O390" i="2" a="1"/>
  <c r="O390" i="2"/>
  <c r="O391" i="2" a="1"/>
  <c r="O391" i="2"/>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c r="O408" i="2" a="1"/>
  <c r="O408" i="2"/>
  <c r="O409" i="2" a="1"/>
  <c r="O409" i="2" s="1"/>
  <c r="O410" i="2" a="1"/>
  <c r="O410" i="2" s="1"/>
  <c r="O411" i="2" a="1"/>
  <c r="O411" i="2" s="1"/>
  <c r="O412" i="2" a="1"/>
  <c r="O412" i="2" s="1"/>
  <c r="O413" i="2" a="1"/>
  <c r="O413" i="2" s="1"/>
  <c r="O414" i="2" a="1"/>
  <c r="O414" i="2" s="1"/>
  <c r="O415" i="2" a="1"/>
  <c r="O415" i="2" s="1"/>
  <c r="O416" i="2" a="1"/>
  <c r="O416" i="2" s="1"/>
  <c r="O417" i="2" a="1"/>
  <c r="O417" i="2" s="1"/>
  <c r="O418" i="2" a="1"/>
  <c r="O418" i="2" s="1"/>
  <c r="O419" i="2" a="1"/>
  <c r="O419" i="2" s="1"/>
  <c r="O420" i="2" a="1"/>
  <c r="O420" i="2" s="1"/>
  <c r="O421" i="2" a="1"/>
  <c r="O421" i="2" s="1"/>
  <c r="O422" i="2" a="1"/>
  <c r="O422" i="2" s="1"/>
  <c r="O423" i="2" a="1"/>
  <c r="O423" i="2" s="1"/>
  <c r="O424" i="2" a="1"/>
  <c r="O424" i="2" s="1"/>
  <c r="O425" i="2" a="1"/>
  <c r="O425" i="2" s="1"/>
  <c r="O426" i="2" a="1"/>
  <c r="O426" i="2"/>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c r="O439" i="2" a="1"/>
  <c r="O439" i="2" s="1"/>
  <c r="O440" i="2" a="1"/>
  <c r="O440" i="2" s="1"/>
  <c r="O441" i="2" a="1"/>
  <c r="O441" i="2" s="1"/>
  <c r="O442" i="2" a="1"/>
  <c r="O442" i="2" s="1"/>
  <c r="O443" i="2" a="1"/>
  <c r="O443" i="2"/>
  <c r="O444" i="2" a="1"/>
  <c r="O444" i="2" s="1"/>
  <c r="O445" i="2" a="1"/>
  <c r="O445" i="2" s="1"/>
  <c r="O446" i="2" a="1"/>
  <c r="O446" i="2" s="1"/>
  <c r="O447" i="2" a="1"/>
  <c r="O447" i="2" s="1"/>
  <c r="O448" i="2" a="1"/>
  <c r="O448" i="2" s="1"/>
  <c r="O449" i="2" a="1"/>
  <c r="O449" i="2" s="1"/>
  <c r="O450" i="2" a="1"/>
  <c r="O450" i="2" s="1"/>
  <c r="O451" i="2" a="1"/>
  <c r="O451" i="2" s="1"/>
  <c r="O452" i="2" a="1"/>
  <c r="O452" i="2" s="1"/>
  <c r="O453" i="2" a="1"/>
  <c r="O453" i="2" s="1"/>
  <c r="O454" i="2" a="1"/>
  <c r="O454" i="2" s="1"/>
  <c r="O455" i="2" a="1"/>
  <c r="O455" i="2" s="1"/>
  <c r="O456" i="2" a="1"/>
  <c r="O456" i="2"/>
  <c r="O457" i="2" a="1"/>
  <c r="O457" i="2"/>
  <c r="O458" i="2" a="1"/>
  <c r="O458" i="2" s="1"/>
  <c r="O459" i="2" a="1"/>
  <c r="O459" i="2" s="1"/>
  <c r="O460" i="2" a="1"/>
  <c r="O460" i="2" s="1"/>
  <c r="O461" i="2" a="1"/>
  <c r="O461" i="2" s="1"/>
  <c r="O462" i="2" a="1"/>
  <c r="O462" i="2" s="1"/>
  <c r="O463" i="2" a="1"/>
  <c r="O463" i="2"/>
  <c r="O464" i="2" a="1"/>
  <c r="O464" i="2" s="1"/>
  <c r="O465" i="2" a="1"/>
  <c r="O465" i="2" s="1"/>
  <c r="O466" i="2" a="1"/>
  <c r="O466" i="2" s="1"/>
  <c r="O467" i="2" a="1"/>
  <c r="O467" i="2"/>
  <c r="O468" i="2" a="1"/>
  <c r="O468" i="2" s="1"/>
  <c r="O469" i="2" a="1"/>
  <c r="O469" i="2" s="1"/>
  <c r="O470" i="2" a="1"/>
  <c r="O470" i="2" s="1"/>
  <c r="O471" i="2" a="1"/>
  <c r="O471" i="2" s="1"/>
  <c r="O472" i="2" a="1"/>
  <c r="O472" i="2" s="1"/>
  <c r="O473" i="2" a="1"/>
  <c r="O473" i="2" s="1"/>
  <c r="O474" i="2" a="1"/>
  <c r="O474" i="2" s="1"/>
  <c r="O475" i="2" a="1"/>
  <c r="O475" i="2" s="1"/>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c r="O487" i="2" a="1"/>
  <c r="O487" i="2" s="1"/>
  <c r="O488" i="2" a="1"/>
  <c r="O488" i="2" s="1"/>
  <c r="O489" i="2" a="1"/>
  <c r="O489" i="2" s="1"/>
  <c r="O490" i="2" a="1"/>
  <c r="O490" i="2" s="1"/>
  <c r="O491" i="2" a="1"/>
  <c r="O491" i="2" s="1"/>
  <c r="O492" i="2" a="1"/>
  <c r="O492" i="2"/>
  <c r="O493" i="2" a="1"/>
  <c r="O493" i="2" s="1"/>
  <c r="O494" i="2" a="1"/>
  <c r="O494" i="2" s="1"/>
  <c r="O495" i="2" a="1"/>
  <c r="O495" i="2" s="1"/>
  <c r="O496" i="2" a="1"/>
  <c r="O496" i="2" s="1"/>
  <c r="O497" i="2" a="1"/>
  <c r="O497" i="2" s="1"/>
  <c r="O498" i="2" a="1"/>
  <c r="O498" i="2" s="1"/>
  <c r="O499" i="2" a="1"/>
  <c r="O499" i="2" s="1"/>
  <c r="O500" i="2" a="1"/>
  <c r="O500" i="2" s="1"/>
  <c r="O501" i="2" a="1"/>
  <c r="O501" i="2"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J2" i="2"/>
  <c r="J3" i="2"/>
  <c r="J4" i="2"/>
  <c r="J5" i="2"/>
  <c r="J6" i="2"/>
  <c r="K6" i="2" s="1"/>
  <c r="J7" i="2"/>
  <c r="K7" i="2" s="1"/>
  <c r="J8" i="2"/>
  <c r="K8" i="2" s="1"/>
  <c r="L8" i="2" s="1"/>
  <c r="N8" i="2" s="1" a="1"/>
  <c r="N8" i="2" s="1"/>
  <c r="J9" i="2"/>
  <c r="K9" i="2" s="1"/>
  <c r="L9" i="2" s="1"/>
  <c r="N9" i="2" s="1" a="1"/>
  <c r="N9" i="2" s="1"/>
  <c r="J10" i="2"/>
  <c r="J11" i="2"/>
  <c r="K11" i="2" s="1"/>
  <c r="J12" i="2"/>
  <c r="K12" i="2" s="1"/>
  <c r="J13" i="2"/>
  <c r="J14" i="2"/>
  <c r="J15" i="2"/>
  <c r="J16" i="2"/>
  <c r="J17" i="2"/>
  <c r="J18" i="2"/>
  <c r="J19" i="2"/>
  <c r="K19" i="2" s="1"/>
  <c r="J20" i="2"/>
  <c r="J21" i="2"/>
  <c r="K21" i="2" s="1"/>
  <c r="J22" i="2"/>
  <c r="J23" i="2"/>
  <c r="K23" i="2" s="1"/>
  <c r="J24" i="2"/>
  <c r="J25" i="2"/>
  <c r="J26" i="2"/>
  <c r="J27" i="2"/>
  <c r="J28" i="2"/>
  <c r="J29" i="2"/>
  <c r="J30" i="2"/>
  <c r="K30" i="2" s="1"/>
  <c r="J31" i="2"/>
  <c r="K31" i="2" s="1"/>
  <c r="J32" i="2"/>
  <c r="K32" i="2" s="1"/>
  <c r="J33" i="2"/>
  <c r="J34" i="2"/>
  <c r="J35" i="2"/>
  <c r="J36" i="2"/>
  <c r="J37" i="2"/>
  <c r="J38" i="2"/>
  <c r="J39" i="2"/>
  <c r="J40" i="2"/>
  <c r="J41" i="2"/>
  <c r="J42" i="2"/>
  <c r="K42" i="2" s="1"/>
  <c r="J43" i="2"/>
  <c r="K43" i="2" s="1"/>
  <c r="J44" i="2"/>
  <c r="J45" i="2"/>
  <c r="J46" i="2"/>
  <c r="J47" i="2"/>
  <c r="J48" i="2"/>
  <c r="J49" i="2"/>
  <c r="J50" i="2"/>
  <c r="J51" i="2"/>
  <c r="J52" i="2"/>
  <c r="J53" i="2"/>
  <c r="J54" i="2"/>
  <c r="K54" i="2" s="1"/>
  <c r="J55" i="2"/>
  <c r="K55" i="2" s="1"/>
  <c r="J56" i="2"/>
  <c r="J57" i="2"/>
  <c r="J58" i="2"/>
  <c r="J59" i="2"/>
  <c r="J60" i="2"/>
  <c r="K60" i="2" s="1"/>
  <c r="J61" i="2"/>
  <c r="J62" i="2"/>
  <c r="J63" i="2"/>
  <c r="J64" i="2"/>
  <c r="J65" i="2"/>
  <c r="J66" i="2"/>
  <c r="K66" i="2" s="1"/>
  <c r="J67" i="2"/>
  <c r="K67" i="2" s="1"/>
  <c r="J68" i="2"/>
  <c r="J69" i="2"/>
  <c r="J70" i="2"/>
  <c r="J71" i="2"/>
  <c r="K71" i="2" s="1"/>
  <c r="J72" i="2"/>
  <c r="K72" i="2" s="1"/>
  <c r="J73" i="2"/>
  <c r="J74" i="2"/>
  <c r="J75" i="2"/>
  <c r="J76" i="2"/>
  <c r="J77" i="2"/>
  <c r="J78" i="2"/>
  <c r="J79" i="2"/>
  <c r="K79" i="2" s="1"/>
  <c r="J80" i="2"/>
  <c r="K80" i="2" s="1"/>
  <c r="L80" i="2" s="1"/>
  <c r="N80" i="2" s="1" a="1"/>
  <c r="N80" i="2" s="1"/>
  <c r="J81" i="2"/>
  <c r="J82" i="2"/>
  <c r="J83" i="2"/>
  <c r="K83" i="2" s="1"/>
  <c r="J84" i="2"/>
  <c r="K84" i="2" s="1"/>
  <c r="J85" i="2"/>
  <c r="J86" i="2"/>
  <c r="J87" i="2"/>
  <c r="J88" i="2"/>
  <c r="J89" i="2"/>
  <c r="J90" i="2"/>
  <c r="K90" i="2" s="1"/>
  <c r="J91" i="2"/>
  <c r="K91" i="2" s="1"/>
  <c r="J92" i="2"/>
  <c r="K92" i="2" s="1"/>
  <c r="L92" i="2" s="1"/>
  <c r="N92" i="2" s="1" a="1"/>
  <c r="N92" i="2" s="1"/>
  <c r="J93" i="2"/>
  <c r="J94" i="2"/>
  <c r="J95" i="2"/>
  <c r="J96" i="2"/>
  <c r="J97" i="2"/>
  <c r="J98" i="2"/>
  <c r="J99" i="2"/>
  <c r="J100" i="2"/>
  <c r="J101" i="2"/>
  <c r="J102" i="2"/>
  <c r="J103" i="2"/>
  <c r="K103" i="2" s="1"/>
  <c r="J104" i="2"/>
  <c r="J105" i="2"/>
  <c r="J106" i="2"/>
  <c r="J107" i="2"/>
  <c r="K107" i="2" s="1"/>
  <c r="J108" i="2"/>
  <c r="K108" i="2" s="1"/>
  <c r="J109" i="2"/>
  <c r="J110" i="2"/>
  <c r="J111" i="2"/>
  <c r="J112" i="2"/>
  <c r="J113" i="2"/>
  <c r="J114" i="2"/>
  <c r="J115" i="2"/>
  <c r="K115" i="2" s="1"/>
  <c r="J116" i="2"/>
  <c r="K116" i="2" s="1"/>
  <c r="L116" i="2" s="1"/>
  <c r="N116" i="2" s="1" a="1"/>
  <c r="N116" i="2" s="1"/>
  <c r="J117" i="2"/>
  <c r="J118" i="2"/>
  <c r="J119" i="2"/>
  <c r="J120" i="2"/>
  <c r="J121" i="2"/>
  <c r="J122" i="2"/>
  <c r="J123" i="2"/>
  <c r="J124" i="2"/>
  <c r="J125" i="2"/>
  <c r="J126" i="2"/>
  <c r="J127" i="2"/>
  <c r="K127" i="2" s="1"/>
  <c r="J128" i="2"/>
  <c r="J129" i="2"/>
  <c r="J130" i="2"/>
  <c r="J131" i="2"/>
  <c r="J132" i="2"/>
  <c r="J133" i="2"/>
  <c r="J134" i="2"/>
  <c r="J135" i="2"/>
  <c r="J136" i="2"/>
  <c r="J137" i="2"/>
  <c r="J138" i="2"/>
  <c r="J139" i="2"/>
  <c r="J140" i="2"/>
  <c r="K140" i="2" s="1"/>
  <c r="L140" i="2" s="1"/>
  <c r="N140" i="2" s="1" a="1"/>
  <c r="N140" i="2" s="1"/>
  <c r="J141" i="2"/>
  <c r="K141" i="2" s="1"/>
  <c r="L141" i="2" s="1"/>
  <c r="N141" i="2" s="1" a="1"/>
  <c r="N141" i="2" s="1"/>
  <c r="J142" i="2"/>
  <c r="J143" i="2"/>
  <c r="K143" i="2" s="1"/>
  <c r="J144" i="2"/>
  <c r="K144" i="2" s="1"/>
  <c r="J145" i="2"/>
  <c r="J146" i="2"/>
  <c r="J147" i="2"/>
  <c r="J148" i="2"/>
  <c r="J149" i="2"/>
  <c r="J150" i="2"/>
  <c r="J151" i="2"/>
  <c r="K151" i="2" s="1"/>
  <c r="J152" i="2"/>
  <c r="K152" i="2" s="1"/>
  <c r="L152" i="2" s="1"/>
  <c r="N152" i="2" s="1" a="1"/>
  <c r="N152" i="2" s="1"/>
  <c r="J153" i="2"/>
  <c r="K153" i="2" s="1"/>
  <c r="J154" i="2"/>
  <c r="J155" i="2"/>
  <c r="K155" i="2" s="1"/>
  <c r="J156" i="2"/>
  <c r="K156" i="2" s="1"/>
  <c r="J157" i="2"/>
  <c r="J158" i="2"/>
  <c r="J159" i="2"/>
  <c r="J160" i="2"/>
  <c r="J161" i="2"/>
  <c r="J162" i="2"/>
  <c r="K162" i="2" s="1"/>
  <c r="J163" i="2"/>
  <c r="K163" i="2" s="1"/>
  <c r="J164" i="2"/>
  <c r="K164" i="2" s="1"/>
  <c r="L164" i="2" s="1"/>
  <c r="N164" i="2" s="1" a="1"/>
  <c r="N164" i="2" s="1"/>
  <c r="J165" i="2"/>
  <c r="K165" i="2" s="1"/>
  <c r="L165" i="2" s="1"/>
  <c r="N165" i="2" s="1" a="1"/>
  <c r="N165" i="2" s="1"/>
  <c r="J166" i="2"/>
  <c r="J167" i="2"/>
  <c r="J168" i="2"/>
  <c r="J169" i="2"/>
  <c r="K169" i="2" s="1"/>
  <c r="J170" i="2"/>
  <c r="J171" i="2"/>
  <c r="J172" i="2"/>
  <c r="J173" i="2"/>
  <c r="J174" i="2"/>
  <c r="J175" i="2"/>
  <c r="J176" i="2"/>
  <c r="K176" i="2" s="1"/>
  <c r="L176" i="2" s="1"/>
  <c r="N176" i="2" s="1" a="1"/>
  <c r="N176" i="2" s="1"/>
  <c r="J177" i="2"/>
  <c r="J178" i="2"/>
  <c r="J179" i="2"/>
  <c r="K179" i="2" s="1"/>
  <c r="J180" i="2"/>
  <c r="K180" i="2" s="1"/>
  <c r="J181" i="2"/>
  <c r="K181" i="2" s="1"/>
  <c r="J182" i="2"/>
  <c r="J183" i="2"/>
  <c r="J184" i="2"/>
  <c r="J185" i="2"/>
  <c r="J186" i="2"/>
  <c r="K186" i="2" s="1"/>
  <c r="J187" i="2"/>
  <c r="J188" i="2"/>
  <c r="K188" i="2" s="1"/>
  <c r="L188" i="2" s="1"/>
  <c r="N188" i="2" s="1" a="1"/>
  <c r="N188" i="2" s="1"/>
  <c r="J189" i="2"/>
  <c r="J190" i="2"/>
  <c r="J191" i="2"/>
  <c r="K191" i="2" s="1"/>
  <c r="J192" i="2"/>
  <c r="K192" i="2" s="1"/>
  <c r="J193" i="2"/>
  <c r="J194" i="2"/>
  <c r="J195" i="2"/>
  <c r="J196" i="2"/>
  <c r="J197" i="2"/>
  <c r="J198" i="2"/>
  <c r="K198" i="2" s="1"/>
  <c r="J199" i="2"/>
  <c r="K199" i="2" s="1"/>
  <c r="J200" i="2"/>
  <c r="K200" i="2" s="1"/>
  <c r="L200" i="2" s="1"/>
  <c r="N200" i="2" s="1" a="1"/>
  <c r="N200" i="2" s="1"/>
  <c r="J201" i="2"/>
  <c r="J202" i="2"/>
  <c r="J203" i="2"/>
  <c r="J204" i="2"/>
  <c r="J205" i="2"/>
  <c r="J206" i="2"/>
  <c r="J207" i="2"/>
  <c r="J208" i="2"/>
  <c r="J209" i="2"/>
  <c r="J210" i="2"/>
  <c r="K210" i="2" s="1"/>
  <c r="J211" i="2"/>
  <c r="K211" i="2" s="1"/>
  <c r="J212" i="2"/>
  <c r="K212" i="2" s="1"/>
  <c r="L212" i="2" s="1"/>
  <c r="N212" i="2" s="1" a="1"/>
  <c r="N212" i="2" s="1"/>
  <c r="J213" i="2"/>
  <c r="J214" i="2"/>
  <c r="J215" i="2"/>
  <c r="J216" i="2"/>
  <c r="J217" i="2"/>
  <c r="J218" i="2"/>
  <c r="J219" i="2"/>
  <c r="J220" i="2"/>
  <c r="J221" i="2"/>
  <c r="J222" i="2"/>
  <c r="J223" i="2"/>
  <c r="J224" i="2"/>
  <c r="K224" i="2" s="1"/>
  <c r="L224" i="2" s="1"/>
  <c r="N224" i="2" s="1" a="1"/>
  <c r="N224" i="2" s="1"/>
  <c r="J225" i="2"/>
  <c r="K225" i="2" s="1"/>
  <c r="L225" i="2" s="1"/>
  <c r="N225" i="2" s="1" a="1"/>
  <c r="N225" i="2" s="1"/>
  <c r="J226" i="2"/>
  <c r="J227" i="2"/>
  <c r="J228" i="2"/>
  <c r="J229" i="2"/>
  <c r="J230" i="2"/>
  <c r="J231" i="2"/>
  <c r="J232" i="2"/>
  <c r="J233" i="2"/>
  <c r="J234" i="2"/>
  <c r="J235" i="2"/>
  <c r="K235" i="2" s="1"/>
  <c r="J236" i="2"/>
  <c r="K236" i="2" s="1"/>
  <c r="L236" i="2" s="1"/>
  <c r="N236" i="2" s="1" a="1"/>
  <c r="N236" i="2" s="1"/>
  <c r="J237" i="2"/>
  <c r="J238" i="2"/>
  <c r="J239" i="2"/>
  <c r="K239" i="2" s="1"/>
  <c r="J240" i="2"/>
  <c r="K240" i="2" s="1"/>
  <c r="J241" i="2"/>
  <c r="J242" i="2"/>
  <c r="J243" i="2"/>
  <c r="J244" i="2"/>
  <c r="J245" i="2"/>
  <c r="J246" i="2"/>
  <c r="J247" i="2"/>
  <c r="K247" i="2" s="1"/>
  <c r="J248" i="2"/>
  <c r="K248" i="2" s="1"/>
  <c r="L248" i="2" s="1"/>
  <c r="N248" i="2" s="1" a="1"/>
  <c r="N248" i="2" s="1"/>
  <c r="J249" i="2"/>
  <c r="K249" i="2" s="1"/>
  <c r="L249" i="2" s="1"/>
  <c r="N249" i="2" s="1" a="1"/>
  <c r="N249" i="2" s="1"/>
  <c r="J250" i="2"/>
  <c r="J251" i="2"/>
  <c r="J252" i="2"/>
  <c r="J253" i="2"/>
  <c r="J254" i="2"/>
  <c r="J255" i="2"/>
  <c r="J256" i="2"/>
  <c r="J257" i="2"/>
  <c r="J258" i="2"/>
  <c r="J259" i="2"/>
  <c r="K259" i="2" s="1"/>
  <c r="J260" i="2"/>
  <c r="K260" i="2" s="1"/>
  <c r="J261" i="2"/>
  <c r="J262" i="2"/>
  <c r="J263" i="2"/>
  <c r="K263" i="2" s="1"/>
  <c r="J264" i="2"/>
  <c r="K264" i="2" s="1"/>
  <c r="J265" i="2"/>
  <c r="K265" i="2" s="1"/>
  <c r="L265" i="2" s="1"/>
  <c r="N265" i="2" s="1" a="1"/>
  <c r="N265" i="2" s="1"/>
  <c r="J266" i="2"/>
  <c r="J267" i="2"/>
  <c r="J268" i="2"/>
  <c r="J269" i="2"/>
  <c r="J270" i="2"/>
  <c r="K270" i="2" s="1"/>
  <c r="J271" i="2"/>
  <c r="K271" i="2" s="1"/>
  <c r="J272" i="2"/>
  <c r="K272" i="2" s="1"/>
  <c r="L272" i="2" s="1"/>
  <c r="N272" i="2" s="1" a="1"/>
  <c r="N272" i="2" s="1"/>
  <c r="J273" i="2"/>
  <c r="K273" i="2" s="1"/>
  <c r="L273" i="2" s="1"/>
  <c r="N273" i="2" s="1" a="1"/>
  <c r="N273" i="2" s="1"/>
  <c r="J274" i="2"/>
  <c r="J275" i="2"/>
  <c r="J276" i="2"/>
  <c r="J277" i="2"/>
  <c r="J278" i="2"/>
  <c r="J279" i="2"/>
  <c r="J280" i="2"/>
  <c r="J281" i="2"/>
  <c r="J282" i="2"/>
  <c r="J283" i="2"/>
  <c r="K283" i="2" s="1"/>
  <c r="J284" i="2"/>
  <c r="K284" i="2" s="1"/>
  <c r="L284" i="2" s="1"/>
  <c r="N284" i="2" s="1" a="1"/>
  <c r="N284" i="2" s="1"/>
  <c r="J285" i="2"/>
  <c r="K285" i="2" s="1"/>
  <c r="L285" i="2" s="1"/>
  <c r="N285" i="2" s="1" a="1"/>
  <c r="N285" i="2" s="1"/>
  <c r="J286" i="2"/>
  <c r="J287" i="2"/>
  <c r="K287" i="2" s="1"/>
  <c r="J288" i="2"/>
  <c r="J289" i="2"/>
  <c r="J290" i="2"/>
  <c r="J291" i="2"/>
  <c r="J292" i="2"/>
  <c r="J293" i="2"/>
  <c r="J294" i="2"/>
  <c r="K294" i="2" s="1"/>
  <c r="J295" i="2"/>
  <c r="K295" i="2" s="1"/>
  <c r="J296" i="2"/>
  <c r="K296" i="2" s="1"/>
  <c r="L296" i="2" s="1"/>
  <c r="N296" i="2" s="1" a="1"/>
  <c r="N296" i="2" s="1"/>
  <c r="J297" i="2"/>
  <c r="K297" i="2" s="1"/>
  <c r="L297" i="2" s="1"/>
  <c r="N297" i="2" s="1" a="1"/>
  <c r="N297" i="2" s="1"/>
  <c r="J298" i="2"/>
  <c r="J299" i="2"/>
  <c r="J300" i="2"/>
  <c r="J301" i="2"/>
  <c r="J302" i="2"/>
  <c r="J303" i="2"/>
  <c r="K303" i="2" s="1"/>
  <c r="J304" i="2"/>
  <c r="J305" i="2"/>
  <c r="J306" i="2"/>
  <c r="J307" i="2"/>
  <c r="K307" i="2" s="1"/>
  <c r="J308" i="2"/>
  <c r="K308" i="2" s="1"/>
  <c r="L308" i="2" s="1"/>
  <c r="N308" i="2" s="1" a="1"/>
  <c r="N308" i="2" s="1"/>
  <c r="J309" i="2"/>
  <c r="K309" i="2" s="1"/>
  <c r="L309" i="2" s="1"/>
  <c r="N309" i="2" s="1" a="1"/>
  <c r="N309" i="2" s="1"/>
  <c r="J310" i="2"/>
  <c r="J311" i="2"/>
  <c r="K311" i="2" s="1"/>
  <c r="J312" i="2"/>
  <c r="K312" i="2" s="1"/>
  <c r="J313" i="2"/>
  <c r="J314" i="2"/>
  <c r="J315" i="2"/>
  <c r="J316" i="2"/>
  <c r="J317" i="2"/>
  <c r="J318" i="2"/>
  <c r="J319" i="2"/>
  <c r="K319" i="2" s="1"/>
  <c r="J320" i="2"/>
  <c r="J321" i="2"/>
  <c r="K321" i="2" s="1"/>
  <c r="J322" i="2"/>
  <c r="J323" i="2"/>
  <c r="J324" i="2"/>
  <c r="J325" i="2"/>
  <c r="J326" i="2"/>
  <c r="J327" i="2"/>
  <c r="J328" i="2"/>
  <c r="J329" i="2"/>
  <c r="J330" i="2"/>
  <c r="K330" i="2" s="1"/>
  <c r="J331" i="2"/>
  <c r="K331" i="2" s="1"/>
  <c r="J332" i="2"/>
  <c r="K332" i="2" s="1"/>
  <c r="L332" i="2" s="1"/>
  <c r="N332" i="2" s="1" a="1"/>
  <c r="N332" i="2" s="1"/>
  <c r="J333" i="2"/>
  <c r="K333" i="2" s="1"/>
  <c r="L333" i="2" s="1"/>
  <c r="N333" i="2" s="1" a="1"/>
  <c r="N333" i="2" s="1"/>
  <c r="J334" i="2"/>
  <c r="J335" i="2"/>
  <c r="K335" i="2" s="1"/>
  <c r="J336" i="2"/>
  <c r="K336" i="2" s="1"/>
  <c r="J337" i="2"/>
  <c r="J338" i="2"/>
  <c r="J339" i="2"/>
  <c r="J340" i="2"/>
  <c r="J341" i="2"/>
  <c r="J342" i="2"/>
  <c r="K342" i="2" s="1"/>
  <c r="J343" i="2"/>
  <c r="K343" i="2" s="1"/>
  <c r="J344" i="2"/>
  <c r="K344" i="2" s="1"/>
  <c r="L344" i="2" s="1"/>
  <c r="N344" i="2" s="1" a="1"/>
  <c r="N344" i="2" s="1"/>
  <c r="J345" i="2"/>
  <c r="K345" i="2" s="1"/>
  <c r="L345" i="2" s="1"/>
  <c r="N345" i="2" s="1" a="1"/>
  <c r="N345" i="2" s="1"/>
  <c r="J346" i="2"/>
  <c r="K346" i="2" s="1"/>
  <c r="J347" i="2"/>
  <c r="J348" i="2"/>
  <c r="J349" i="2"/>
  <c r="J350" i="2"/>
  <c r="J351" i="2"/>
  <c r="K351" i="2" s="1"/>
  <c r="J352" i="2"/>
  <c r="J353" i="2"/>
  <c r="J354" i="2"/>
  <c r="J355" i="2"/>
  <c r="J356" i="2"/>
  <c r="K356" i="2" s="1"/>
  <c r="J357" i="2"/>
  <c r="K357" i="2" s="1"/>
  <c r="L357" i="2" s="1"/>
  <c r="N357" i="2" s="1" a="1"/>
  <c r="N357" i="2" s="1"/>
  <c r="J358" i="2"/>
  <c r="J359" i="2"/>
  <c r="J360" i="2"/>
  <c r="K360" i="2" s="1"/>
  <c r="J361" i="2"/>
  <c r="J362" i="2"/>
  <c r="J363" i="2"/>
  <c r="J364" i="2"/>
  <c r="J365" i="2"/>
  <c r="J366" i="2"/>
  <c r="J367" i="2"/>
  <c r="K367" i="2" s="1"/>
  <c r="J368" i="2"/>
  <c r="K368" i="2" s="1"/>
  <c r="L368" i="2" s="1"/>
  <c r="N368" i="2" s="1" a="1"/>
  <c r="N368" i="2" s="1"/>
  <c r="J369" i="2"/>
  <c r="K369" i="2" s="1"/>
  <c r="L369" i="2" s="1"/>
  <c r="N369" i="2" s="1" a="1"/>
  <c r="N369" i="2" s="1"/>
  <c r="J370" i="2"/>
  <c r="J371" i="2"/>
  <c r="J372" i="2"/>
  <c r="J373" i="2"/>
  <c r="J374" i="2"/>
  <c r="J375" i="2"/>
  <c r="K375" i="2" s="1"/>
  <c r="J376" i="2"/>
  <c r="J377" i="2"/>
  <c r="J378" i="2"/>
  <c r="K378" i="2" s="1"/>
  <c r="J379" i="2"/>
  <c r="K379" i="2" s="1"/>
  <c r="J380" i="2"/>
  <c r="K380" i="2" s="1"/>
  <c r="L380" i="2" s="1"/>
  <c r="N380" i="2" s="1" a="1"/>
  <c r="N380" i="2" s="1"/>
  <c r="J381" i="2"/>
  <c r="K381" i="2" s="1"/>
  <c r="L381" i="2" s="1"/>
  <c r="N381" i="2" s="1" a="1"/>
  <c r="N381" i="2" s="1"/>
  <c r="J382" i="2"/>
  <c r="J383" i="2"/>
  <c r="K383" i="2" s="1"/>
  <c r="J384" i="2"/>
  <c r="K384" i="2" s="1"/>
  <c r="J385" i="2"/>
  <c r="J386" i="2"/>
  <c r="J387" i="2"/>
  <c r="J388" i="2"/>
  <c r="J389" i="2"/>
  <c r="J390" i="2"/>
  <c r="K390" i="2" s="1"/>
  <c r="J391" i="2"/>
  <c r="K391" i="2" s="1"/>
  <c r="J392" i="2"/>
  <c r="K392" i="2" s="1"/>
  <c r="L392" i="2" s="1"/>
  <c r="N392" i="2" s="1" a="1"/>
  <c r="N392" i="2" s="1"/>
  <c r="J393" i="2"/>
  <c r="J394" i="2"/>
  <c r="J395" i="2"/>
  <c r="J396" i="2"/>
  <c r="J397" i="2"/>
  <c r="J398" i="2"/>
  <c r="J399" i="2"/>
  <c r="K399" i="2" s="1"/>
  <c r="J400" i="2"/>
  <c r="J401" i="2"/>
  <c r="J402" i="2"/>
  <c r="J403" i="2"/>
  <c r="J404" i="2"/>
  <c r="K404" i="2" s="1"/>
  <c r="L404" i="2" s="1"/>
  <c r="N404" i="2" s="1" a="1"/>
  <c r="N404" i="2" s="1"/>
  <c r="J405" i="2"/>
  <c r="K405" i="2" s="1"/>
  <c r="L405" i="2" s="1"/>
  <c r="N405" i="2" s="1" a="1"/>
  <c r="N405" i="2" s="1"/>
  <c r="J406" i="2"/>
  <c r="J407" i="2"/>
  <c r="K407" i="2" s="1"/>
  <c r="J408" i="2"/>
  <c r="K408" i="2" s="1"/>
  <c r="J409" i="2"/>
  <c r="J410" i="2"/>
  <c r="J411" i="2"/>
  <c r="J412" i="2"/>
  <c r="J413" i="2"/>
  <c r="J414" i="2"/>
  <c r="J415" i="2"/>
  <c r="K415" i="2" s="1"/>
  <c r="J416" i="2"/>
  <c r="K416" i="2" s="1"/>
  <c r="J417" i="2"/>
  <c r="K417" i="2" s="1"/>
  <c r="J418" i="2"/>
  <c r="J419" i="2"/>
  <c r="J420" i="2"/>
  <c r="J421" i="2"/>
  <c r="J422" i="2"/>
  <c r="J423" i="2"/>
  <c r="K423" i="2" s="1"/>
  <c r="J424" i="2"/>
  <c r="J425" i="2"/>
  <c r="J426" i="2"/>
  <c r="J427" i="2"/>
  <c r="K427" i="2" s="1"/>
  <c r="J428" i="2"/>
  <c r="K428" i="2" s="1"/>
  <c r="J429" i="2"/>
  <c r="J430" i="2"/>
  <c r="J431" i="2"/>
  <c r="K431" i="2" s="1"/>
  <c r="J432" i="2"/>
  <c r="K432" i="2" s="1"/>
  <c r="J433" i="2"/>
  <c r="J434" i="2"/>
  <c r="J435" i="2"/>
  <c r="J436" i="2"/>
  <c r="J437" i="2"/>
  <c r="J438" i="2"/>
  <c r="J439" i="2"/>
  <c r="K439" i="2" s="1"/>
  <c r="J440" i="2"/>
  <c r="K440" i="2" s="1"/>
  <c r="L440" i="2" s="1"/>
  <c r="N440" i="2" s="1" a="1"/>
  <c r="N440" i="2" s="1"/>
  <c r="J441" i="2"/>
  <c r="K441" i="2" s="1"/>
  <c r="L441" i="2" s="1"/>
  <c r="N441" i="2" s="1" a="1"/>
  <c r="N441" i="2" s="1"/>
  <c r="J442" i="2"/>
  <c r="J443" i="2"/>
  <c r="J444" i="2"/>
  <c r="J445" i="2"/>
  <c r="J446" i="2"/>
  <c r="J447" i="2"/>
  <c r="K447" i="2" s="1"/>
  <c r="J448" i="2"/>
  <c r="J449" i="2"/>
  <c r="J450" i="2"/>
  <c r="K450" i="2" s="1"/>
  <c r="J451" i="2"/>
  <c r="K451" i="2" s="1"/>
  <c r="J452" i="2"/>
  <c r="K452" i="2" s="1"/>
  <c r="L452" i="2" s="1"/>
  <c r="N452" i="2" s="1" a="1"/>
  <c r="N452" i="2" s="1"/>
  <c r="J453" i="2"/>
  <c r="K453" i="2" s="1"/>
  <c r="L453" i="2" s="1"/>
  <c r="N453" i="2" s="1" a="1"/>
  <c r="N453" i="2" s="1"/>
  <c r="J454" i="2"/>
  <c r="J455" i="2"/>
  <c r="K455" i="2" s="1"/>
  <c r="J456" i="2"/>
  <c r="K456" i="2" s="1"/>
  <c r="J457" i="2"/>
  <c r="J458" i="2"/>
  <c r="J459" i="2"/>
  <c r="J460" i="2"/>
  <c r="J461" i="2"/>
  <c r="J462" i="2"/>
  <c r="J463" i="2"/>
  <c r="K463" i="2" s="1"/>
  <c r="J464" i="2"/>
  <c r="K464" i="2" s="1"/>
  <c r="L464" i="2" s="1"/>
  <c r="N464" i="2" s="1" a="1"/>
  <c r="N464" i="2" s="1"/>
  <c r="J465" i="2"/>
  <c r="K465" i="2" s="1"/>
  <c r="L465" i="2" s="1"/>
  <c r="N465" i="2" s="1" a="1"/>
  <c r="N465" i="2" s="1"/>
  <c r="J466" i="2"/>
  <c r="J467" i="2"/>
  <c r="J468" i="2"/>
  <c r="J469" i="2"/>
  <c r="J470" i="2"/>
  <c r="J471" i="2"/>
  <c r="K471" i="2" s="1"/>
  <c r="J472" i="2"/>
  <c r="J473" i="2"/>
  <c r="J474" i="2"/>
  <c r="J475" i="2"/>
  <c r="K475" i="2" s="1"/>
  <c r="J476" i="2"/>
  <c r="K476" i="2" s="1"/>
  <c r="L476" i="2" s="1"/>
  <c r="N476" i="2" s="1" a="1"/>
  <c r="N476" i="2" s="1"/>
  <c r="J477" i="2"/>
  <c r="K477" i="2" s="1"/>
  <c r="L477" i="2" s="1"/>
  <c r="N477" i="2" s="1" a="1"/>
  <c r="N477" i="2" s="1"/>
  <c r="J478" i="2"/>
  <c r="J479" i="2"/>
  <c r="K479" i="2" s="1"/>
  <c r="J480" i="2"/>
  <c r="J481" i="2"/>
  <c r="J482" i="2"/>
  <c r="J483" i="2"/>
  <c r="J484" i="2"/>
  <c r="J485" i="2"/>
  <c r="J486" i="2"/>
  <c r="K486" i="2" s="1"/>
  <c r="J487" i="2"/>
  <c r="K487" i="2" s="1"/>
  <c r="J488" i="2"/>
  <c r="K488" i="2" s="1"/>
  <c r="L488" i="2" s="1"/>
  <c r="N488" i="2" s="1" a="1"/>
  <c r="N488" i="2" s="1"/>
  <c r="J489" i="2"/>
  <c r="K489" i="2" s="1"/>
  <c r="L489" i="2" s="1"/>
  <c r="N489" i="2" s="1" a="1"/>
  <c r="N489" i="2" s="1"/>
  <c r="J490" i="2"/>
  <c r="J491" i="2"/>
  <c r="J492" i="2"/>
  <c r="J493" i="2"/>
  <c r="J494" i="2"/>
  <c r="J495" i="2"/>
  <c r="K495" i="2" s="1"/>
  <c r="J496" i="2"/>
  <c r="J497" i="2"/>
  <c r="J498" i="2"/>
  <c r="J499" i="2"/>
  <c r="K499" i="2" s="1"/>
  <c r="J500" i="2"/>
  <c r="K500" i="2" s="1"/>
  <c r="J501" i="2"/>
  <c r="K501" i="2" s="1"/>
  <c r="L43" i="2" l="1"/>
  <c r="N43" i="2" s="1" a="1"/>
  <c r="N43" i="2" s="1"/>
  <c r="L31" i="2"/>
  <c r="N31" i="2" s="1" a="1"/>
  <c r="N31" i="2" s="1"/>
  <c r="L475" i="2"/>
  <c r="N475" i="2" s="1" a="1"/>
  <c r="N475" i="2" s="1"/>
  <c r="L163" i="2"/>
  <c r="N163" i="2" s="1" a="1"/>
  <c r="N163" i="2" s="1"/>
  <c r="L439" i="2"/>
  <c r="N439" i="2" s="1" a="1"/>
  <c r="N439" i="2" s="1"/>
  <c r="L415" i="2"/>
  <c r="N415" i="2" s="1" a="1"/>
  <c r="N415" i="2" s="1"/>
  <c r="L283" i="2"/>
  <c r="N283" i="2" s="1" a="1"/>
  <c r="N283" i="2" s="1"/>
  <c r="L151" i="2"/>
  <c r="N151" i="2" s="1" a="1"/>
  <c r="N151" i="2" s="1"/>
  <c r="L343" i="2"/>
  <c r="N343" i="2" s="1" a="1"/>
  <c r="N343" i="2" s="1"/>
  <c r="L55" i="2"/>
  <c r="N55" i="2" s="1" a="1"/>
  <c r="N55" i="2" s="1"/>
  <c r="L91" i="2"/>
  <c r="N91" i="2" s="1" a="1"/>
  <c r="N91" i="2" s="1"/>
  <c r="L79" i="2"/>
  <c r="N79" i="2" s="1" a="1"/>
  <c r="N79" i="2" s="1"/>
  <c r="L67" i="2"/>
  <c r="N67" i="2" s="1" a="1"/>
  <c r="N67" i="2" s="1"/>
  <c r="L271" i="2"/>
  <c r="N271" i="2" s="1" a="1"/>
  <c r="N271" i="2" s="1"/>
  <c r="L247" i="2"/>
  <c r="N247" i="2" s="1" a="1"/>
  <c r="N247" i="2" s="1"/>
  <c r="K359" i="2"/>
  <c r="L359" i="2"/>
  <c r="N359" i="2" s="1" a="1"/>
  <c r="N359" i="2" s="1"/>
  <c r="L153" i="2"/>
  <c r="N153" i="2" s="1" a="1"/>
  <c r="N153" i="2" s="1"/>
  <c r="L416" i="2"/>
  <c r="N416" i="2" s="1" a="1"/>
  <c r="N416" i="2" s="1"/>
  <c r="L356" i="2"/>
  <c r="N356" i="2" s="1" a="1"/>
  <c r="N356" i="2" s="1"/>
  <c r="K403" i="2"/>
  <c r="L403" i="2"/>
  <c r="N403" i="2" s="1" a="1"/>
  <c r="N403" i="2" s="1"/>
  <c r="K355" i="2"/>
  <c r="L355" i="2"/>
  <c r="N355" i="2" s="1" a="1"/>
  <c r="N355" i="2" s="1"/>
  <c r="K223" i="2"/>
  <c r="L223" i="2" s="1"/>
  <c r="N223" i="2" s="1" a="1"/>
  <c r="N223" i="2" s="1"/>
  <c r="K187" i="2"/>
  <c r="L187" i="2" s="1"/>
  <c r="N187" i="2" s="1" a="1"/>
  <c r="N187" i="2" s="1"/>
  <c r="K175" i="2"/>
  <c r="L175" i="2" s="1"/>
  <c r="N175" i="2" s="1" a="1"/>
  <c r="N175" i="2" s="1"/>
  <c r="L235" i="2"/>
  <c r="N235" i="2" s="1" a="1"/>
  <c r="N235" i="2" s="1"/>
  <c r="L211" i="2"/>
  <c r="N211" i="2" s="1" a="1"/>
  <c r="N211" i="2" s="1"/>
  <c r="L199" i="2"/>
  <c r="N199" i="2" s="1" a="1"/>
  <c r="N199" i="2" s="1"/>
  <c r="K291" i="2"/>
  <c r="L291" i="2" s="1"/>
  <c r="N291" i="2" s="1" a="1"/>
  <c r="N291" i="2" s="1"/>
  <c r="K195" i="2"/>
  <c r="L195" i="2" s="1"/>
  <c r="N195" i="2" s="1" a="1"/>
  <c r="N195" i="2" s="1"/>
  <c r="K183" i="2"/>
  <c r="L183" i="2" s="1"/>
  <c r="N183" i="2" s="1" a="1"/>
  <c r="N183" i="2" s="1"/>
  <c r="K159" i="2"/>
  <c r="L159" i="2" s="1"/>
  <c r="N159" i="2" s="1" a="1"/>
  <c r="N159" i="2" s="1"/>
  <c r="K350" i="2"/>
  <c r="L350" i="2" s="1"/>
  <c r="N350" i="2" s="1" a="1"/>
  <c r="N350" i="2" s="1"/>
  <c r="K290" i="2"/>
  <c r="L290" i="2" s="1"/>
  <c r="N290" i="2" s="1" a="1"/>
  <c r="N290" i="2" s="1"/>
  <c r="K278" i="2"/>
  <c r="K242" i="2"/>
  <c r="L242" i="2" s="1"/>
  <c r="N242" i="2" s="1" a="1"/>
  <c r="N242" i="2" s="1"/>
  <c r="K218" i="2"/>
  <c r="L218" i="2"/>
  <c r="N218" i="2" s="1" a="1"/>
  <c r="N218" i="2" s="1"/>
  <c r="K206" i="2"/>
  <c r="L206" i="2" s="1"/>
  <c r="N206" i="2" s="1" a="1"/>
  <c r="N206" i="2" s="1"/>
  <c r="K182" i="2"/>
  <c r="L182" i="2" s="1"/>
  <c r="N182" i="2" s="1" a="1"/>
  <c r="N182" i="2" s="1"/>
  <c r="K170" i="2"/>
  <c r="L170" i="2" s="1"/>
  <c r="N170" i="2" s="1" a="1"/>
  <c r="N170" i="2" s="1"/>
  <c r="K146" i="2"/>
  <c r="L146" i="2" s="1"/>
  <c r="N146" i="2" s="1" a="1"/>
  <c r="N146" i="2" s="1"/>
  <c r="K134" i="2"/>
  <c r="L134" i="2" s="1"/>
  <c r="N134" i="2" s="1" a="1"/>
  <c r="N134" i="2" s="1"/>
  <c r="K98" i="2"/>
  <c r="L98" i="2" s="1"/>
  <c r="N98" i="2" s="1" a="1"/>
  <c r="N98" i="2" s="1"/>
  <c r="K86" i="2"/>
  <c r="L86" i="2" s="1"/>
  <c r="N86" i="2" s="1" a="1"/>
  <c r="N86" i="2" s="1"/>
  <c r="K62" i="2"/>
  <c r="L62" i="2" s="1"/>
  <c r="N62" i="2" s="1" a="1"/>
  <c r="N62" i="2" s="1"/>
  <c r="K26" i="2"/>
  <c r="L26" i="2" s="1"/>
  <c r="N26" i="2" s="1" a="1"/>
  <c r="N26" i="2" s="1"/>
  <c r="K63" i="2"/>
  <c r="L63" i="2" s="1"/>
  <c r="N63" i="2" s="1" a="1"/>
  <c r="N63" i="2" s="1"/>
  <c r="K482" i="2"/>
  <c r="L482" i="2" s="1"/>
  <c r="N482" i="2" s="1" a="1"/>
  <c r="N482" i="2" s="1"/>
  <c r="K458" i="2"/>
  <c r="L458" i="2" s="1"/>
  <c r="N458" i="2" s="1" a="1"/>
  <c r="N458" i="2" s="1"/>
  <c r="K422" i="2"/>
  <c r="L422" i="2" s="1"/>
  <c r="N422" i="2" s="1" a="1"/>
  <c r="N422" i="2" s="1"/>
  <c r="K314" i="2"/>
  <c r="L314" i="2" s="1"/>
  <c r="N314" i="2" s="1" a="1"/>
  <c r="N314" i="2" s="1"/>
  <c r="K493" i="2"/>
  <c r="L493" i="2" s="1"/>
  <c r="N493" i="2" s="1" a="1"/>
  <c r="N493" i="2" s="1"/>
  <c r="K481" i="2"/>
  <c r="L481" i="2" s="1"/>
  <c r="N481" i="2" s="1" a="1"/>
  <c r="N481" i="2" s="1"/>
  <c r="K457" i="2"/>
  <c r="L457" i="2" s="1"/>
  <c r="N457" i="2" s="1" a="1"/>
  <c r="N457" i="2" s="1"/>
  <c r="K445" i="2"/>
  <c r="L445" i="2" s="1"/>
  <c r="N445" i="2" s="1" a="1"/>
  <c r="N445" i="2" s="1"/>
  <c r="K385" i="2"/>
  <c r="L385" i="2" s="1"/>
  <c r="N385" i="2" s="1" a="1"/>
  <c r="N385" i="2" s="1"/>
  <c r="K325" i="2"/>
  <c r="L325" i="2" s="1"/>
  <c r="N325" i="2" s="1" a="1"/>
  <c r="N325" i="2" s="1"/>
  <c r="K483" i="2"/>
  <c r="K339" i="2"/>
  <c r="L339" i="2" s="1"/>
  <c r="N339" i="2" s="1" a="1"/>
  <c r="N339" i="2" s="1"/>
  <c r="K315" i="2"/>
  <c r="L315" i="2" s="1"/>
  <c r="N315" i="2" s="1" a="1"/>
  <c r="N315" i="2" s="1"/>
  <c r="K267" i="2"/>
  <c r="L267" i="2" s="1"/>
  <c r="N267" i="2" s="1" a="1"/>
  <c r="N267" i="2" s="1"/>
  <c r="K243" i="2"/>
  <c r="L243" i="2" s="1"/>
  <c r="N243" i="2" s="1" a="1"/>
  <c r="N243" i="2" s="1"/>
  <c r="K219" i="2"/>
  <c r="L219" i="2" s="1"/>
  <c r="N219" i="2" s="1" a="1"/>
  <c r="N219" i="2" s="1"/>
  <c r="K39" i="2"/>
  <c r="L39" i="2" s="1"/>
  <c r="N39" i="2" s="1" a="1"/>
  <c r="N39" i="2" s="1"/>
  <c r="K3" i="2"/>
  <c r="L3" i="2" s="1"/>
  <c r="N3" i="2" s="1" a="1"/>
  <c r="N3" i="2" s="1"/>
  <c r="K494" i="2"/>
  <c r="L494" i="2" s="1"/>
  <c r="N494" i="2" s="1" a="1"/>
  <c r="N494" i="2" s="1"/>
  <c r="K349" i="2"/>
  <c r="L349" i="2" s="1"/>
  <c r="N349" i="2" s="1" a="1"/>
  <c r="N349" i="2" s="1"/>
  <c r="K277" i="2"/>
  <c r="L277" i="2" s="1"/>
  <c r="N277" i="2" s="1" a="1"/>
  <c r="N277" i="2" s="1"/>
  <c r="K205" i="2"/>
  <c r="L205" i="2" s="1"/>
  <c r="N205" i="2" s="1" a="1"/>
  <c r="N205" i="2" s="1"/>
  <c r="K133" i="2"/>
  <c r="K121" i="2"/>
  <c r="L121" i="2" s="1"/>
  <c r="N121" i="2" s="1" a="1"/>
  <c r="N121" i="2" s="1"/>
  <c r="K97" i="2"/>
  <c r="K25" i="2"/>
  <c r="K87" i="2"/>
  <c r="L87" i="2" s="1"/>
  <c r="N87" i="2" s="1" a="1"/>
  <c r="N87" i="2" s="1"/>
  <c r="K51" i="2"/>
  <c r="L51" i="2" s="1"/>
  <c r="N51" i="2" s="1" a="1"/>
  <c r="N51" i="2" s="1"/>
  <c r="K27" i="2"/>
  <c r="L27" i="2" s="1"/>
  <c r="N27" i="2" s="1" a="1"/>
  <c r="N27" i="2" s="1"/>
  <c r="K446" i="2"/>
  <c r="L446" i="2" s="1"/>
  <c r="N446" i="2" s="1" a="1"/>
  <c r="N446" i="2" s="1"/>
  <c r="K410" i="2"/>
  <c r="L410" i="2" s="1"/>
  <c r="N410" i="2" s="1" a="1"/>
  <c r="N410" i="2" s="1"/>
  <c r="K386" i="2"/>
  <c r="L386" i="2" s="1"/>
  <c r="N386" i="2" s="1" a="1"/>
  <c r="N386" i="2" s="1"/>
  <c r="K421" i="2"/>
  <c r="L421" i="2" s="1"/>
  <c r="N421" i="2" s="1" a="1"/>
  <c r="N421" i="2" s="1"/>
  <c r="K289" i="2"/>
  <c r="L289" i="2" s="1"/>
  <c r="N289" i="2" s="1" a="1"/>
  <c r="N289" i="2" s="1"/>
  <c r="K253" i="2"/>
  <c r="K217" i="2"/>
  <c r="L217" i="2" s="1"/>
  <c r="N217" i="2" s="1" a="1"/>
  <c r="N217" i="2" s="1"/>
  <c r="K193" i="2"/>
  <c r="L193" i="2" s="1"/>
  <c r="N193" i="2" s="1" a="1"/>
  <c r="N193" i="2" s="1"/>
  <c r="K61" i="2"/>
  <c r="L61" i="2" s="1"/>
  <c r="N61" i="2" s="1" a="1"/>
  <c r="N61" i="2" s="1"/>
  <c r="K480" i="2"/>
  <c r="L480" i="2" s="1"/>
  <c r="N480" i="2" s="1" a="1"/>
  <c r="N480" i="2" s="1"/>
  <c r="K444" i="2"/>
  <c r="L444" i="2" s="1"/>
  <c r="N444" i="2" s="1" a="1"/>
  <c r="N444" i="2" s="1"/>
  <c r="K348" i="2"/>
  <c r="L348" i="2" s="1"/>
  <c r="N348" i="2" s="1" a="1"/>
  <c r="N348" i="2" s="1"/>
  <c r="K300" i="2"/>
  <c r="L300" i="2" s="1"/>
  <c r="N300" i="2" s="1" a="1"/>
  <c r="N300" i="2" s="1"/>
  <c r="K204" i="2"/>
  <c r="L204" i="2" s="1"/>
  <c r="N204" i="2" s="1" a="1"/>
  <c r="N204" i="2" s="1"/>
  <c r="K96" i="2"/>
  <c r="L96" i="2" s="1"/>
  <c r="N96" i="2" s="1" a="1"/>
  <c r="N96" i="2" s="1"/>
  <c r="K371" i="2"/>
  <c r="L371" i="2" s="1"/>
  <c r="N371" i="2" s="1" a="1"/>
  <c r="N371" i="2" s="1"/>
  <c r="K323" i="2"/>
  <c r="K215" i="2"/>
  <c r="L215" i="2" s="1"/>
  <c r="N215" i="2" s="1" a="1"/>
  <c r="N215" i="2" s="1"/>
  <c r="K203" i="2"/>
  <c r="L203" i="2" s="1"/>
  <c r="N203" i="2" s="1" a="1"/>
  <c r="N203" i="2" s="1"/>
  <c r="K406" i="2"/>
  <c r="L406" i="2" s="1"/>
  <c r="N406" i="2" s="1" a="1"/>
  <c r="N406" i="2" s="1"/>
  <c r="K250" i="2"/>
  <c r="L250" i="2" s="1"/>
  <c r="N250" i="2" s="1" a="1"/>
  <c r="N250" i="2" s="1"/>
  <c r="K226" i="2"/>
  <c r="L226" i="2" s="1"/>
  <c r="N226" i="2" s="1" a="1"/>
  <c r="N226" i="2" s="1"/>
  <c r="K214" i="2"/>
  <c r="L214" i="2" s="1"/>
  <c r="N214" i="2" s="1" a="1"/>
  <c r="N214" i="2" s="1"/>
  <c r="K202" i="2"/>
  <c r="L202" i="2" s="1"/>
  <c r="N202" i="2" s="1" a="1"/>
  <c r="N202" i="2" s="1"/>
  <c r="K178" i="2"/>
  <c r="L178" i="2" s="1"/>
  <c r="N178" i="2" s="1" a="1"/>
  <c r="N178" i="2" s="1"/>
  <c r="K142" i="2"/>
  <c r="L142" i="2" s="1"/>
  <c r="N142" i="2" s="1" a="1"/>
  <c r="N142" i="2" s="1"/>
  <c r="K189" i="2"/>
  <c r="L189" i="2" s="1"/>
  <c r="N189" i="2" s="1" a="1"/>
  <c r="N189" i="2" s="1"/>
  <c r="K129" i="2"/>
  <c r="L129" i="2" s="1"/>
  <c r="N129" i="2" s="1" a="1"/>
  <c r="N129" i="2" s="1"/>
  <c r="K69" i="2"/>
  <c r="L69" i="2" s="1"/>
  <c r="N69" i="2" s="1" a="1"/>
  <c r="N69" i="2" s="1"/>
  <c r="K57" i="2"/>
  <c r="L57" i="2" s="1"/>
  <c r="N57" i="2" s="1" a="1"/>
  <c r="N57" i="2" s="1"/>
  <c r="L21" i="2"/>
  <c r="N21" i="2" s="1" a="1"/>
  <c r="N21" i="2" s="1"/>
  <c r="K261" i="2"/>
  <c r="L261" i="2" s="1"/>
  <c r="N261" i="2" s="1" a="1"/>
  <c r="N261" i="2" s="1"/>
  <c r="K393" i="2"/>
  <c r="L393" i="2" s="1"/>
  <c r="N393" i="2" s="1" a="1"/>
  <c r="N393" i="2" s="1"/>
  <c r="L323" i="2"/>
  <c r="N323" i="2" s="1" a="1"/>
  <c r="N323" i="2" s="1"/>
  <c r="K238" i="2"/>
  <c r="L238" i="2" s="1"/>
  <c r="N238" i="2" s="1" a="1"/>
  <c r="N238" i="2" s="1"/>
  <c r="L321" i="2"/>
  <c r="N321" i="2" s="1" a="1"/>
  <c r="N321" i="2" s="1"/>
  <c r="K492" i="2"/>
  <c r="L492" i="2" s="1"/>
  <c r="N492" i="2" s="1" a="1"/>
  <c r="N492" i="2" s="1"/>
  <c r="K324" i="2"/>
  <c r="L324" i="2" s="1"/>
  <c r="N324" i="2" s="1" a="1"/>
  <c r="N324" i="2" s="1"/>
  <c r="K276" i="2"/>
  <c r="L276" i="2" s="1"/>
  <c r="N276" i="2" s="1" a="1"/>
  <c r="N276" i="2" s="1"/>
  <c r="K168" i="2"/>
  <c r="L168" i="2" s="1"/>
  <c r="N168" i="2" s="1" a="1"/>
  <c r="N168" i="2" s="1"/>
  <c r="K120" i="2"/>
  <c r="L120" i="2" s="1"/>
  <c r="N120" i="2" s="1" a="1"/>
  <c r="N120" i="2" s="1"/>
  <c r="K48" i="2"/>
  <c r="L48" i="2" s="1"/>
  <c r="N48" i="2" s="1" a="1"/>
  <c r="N48" i="2" s="1"/>
  <c r="K491" i="2"/>
  <c r="L491" i="2" s="1"/>
  <c r="N491" i="2" s="1" a="1"/>
  <c r="N491" i="2" s="1"/>
  <c r="K275" i="2"/>
  <c r="L275" i="2" s="1"/>
  <c r="N275" i="2" s="1" a="1"/>
  <c r="N275" i="2" s="1"/>
  <c r="K227" i="2"/>
  <c r="L227" i="2" s="1"/>
  <c r="N227" i="2" s="1" a="1"/>
  <c r="N227" i="2" s="1"/>
  <c r="K119" i="2"/>
  <c r="L119" i="2"/>
  <c r="N119" i="2" s="1" a="1"/>
  <c r="N119" i="2" s="1"/>
  <c r="K298" i="2"/>
  <c r="L298" i="2" s="1"/>
  <c r="N298" i="2" s="1" a="1"/>
  <c r="N298" i="2" s="1"/>
  <c r="K154" i="2"/>
  <c r="L154" i="2" s="1"/>
  <c r="N154" i="2" s="1" a="1"/>
  <c r="N154" i="2" s="1"/>
  <c r="K118" i="2"/>
  <c r="L118" i="2" s="1"/>
  <c r="N118" i="2" s="1" a="1"/>
  <c r="N118" i="2" s="1"/>
  <c r="K94" i="2"/>
  <c r="L94" i="2" s="1"/>
  <c r="N94" i="2" s="1" a="1"/>
  <c r="N94" i="2" s="1"/>
  <c r="K82" i="2"/>
  <c r="L82" i="2" s="1"/>
  <c r="N82" i="2" s="1" a="1"/>
  <c r="N82" i="2" s="1"/>
  <c r="K70" i="2"/>
  <c r="L70" i="2" s="1"/>
  <c r="N70" i="2" s="1" a="1"/>
  <c r="N70" i="2" s="1"/>
  <c r="K46" i="2"/>
  <c r="L46" i="2" s="1"/>
  <c r="N46" i="2" s="1" a="1"/>
  <c r="N46" i="2" s="1"/>
  <c r="K10" i="2"/>
  <c r="L10" i="2" s="1"/>
  <c r="N10" i="2" s="1" a="1"/>
  <c r="N10" i="2" s="1"/>
  <c r="K201" i="2"/>
  <c r="L201" i="2" s="1"/>
  <c r="N201" i="2" s="1" a="1"/>
  <c r="N201" i="2" s="1"/>
  <c r="K177" i="2"/>
  <c r="L177" i="2" s="1"/>
  <c r="N177" i="2" s="1" a="1"/>
  <c r="N177" i="2" s="1"/>
  <c r="K117" i="2"/>
  <c r="L117" i="2" s="1"/>
  <c r="N117" i="2" s="1" a="1"/>
  <c r="N117" i="2" s="1"/>
  <c r="K93" i="2"/>
  <c r="L93" i="2" s="1"/>
  <c r="N93" i="2" s="1" a="1"/>
  <c r="N93" i="2" s="1"/>
  <c r="K105" i="2"/>
  <c r="L105" i="2" s="1"/>
  <c r="N105" i="2" s="1" a="1"/>
  <c r="N105" i="2" s="1"/>
  <c r="K81" i="2"/>
  <c r="L81" i="2" s="1"/>
  <c r="N81" i="2" s="1" a="1"/>
  <c r="N81" i="2" s="1"/>
  <c r="K237" i="2"/>
  <c r="L237" i="2" s="1"/>
  <c r="N237" i="2" s="1" a="1"/>
  <c r="N237" i="2" s="1"/>
  <c r="L417" i="2"/>
  <c r="N417" i="2" s="1" a="1"/>
  <c r="N417" i="2" s="1"/>
  <c r="L287" i="2"/>
  <c r="N287" i="2" s="1" a="1"/>
  <c r="N287" i="2" s="1"/>
  <c r="L180" i="2"/>
  <c r="N180" i="2" s="1" a="1"/>
  <c r="N180" i="2" s="1"/>
  <c r="K420" i="2"/>
  <c r="L420" i="2" s="1"/>
  <c r="N420" i="2" s="1" a="1"/>
  <c r="N420" i="2" s="1"/>
  <c r="K396" i="2"/>
  <c r="L396" i="2" s="1"/>
  <c r="N396" i="2" s="1" a="1"/>
  <c r="N396" i="2" s="1"/>
  <c r="K228" i="2"/>
  <c r="L228" i="2" s="1"/>
  <c r="N228" i="2" s="1" a="1"/>
  <c r="N228" i="2" s="1"/>
  <c r="K132" i="2"/>
  <c r="L132" i="2" s="1"/>
  <c r="N132" i="2" s="1" a="1"/>
  <c r="N132" i="2" s="1"/>
  <c r="K36" i="2"/>
  <c r="L36" i="2" s="1"/>
  <c r="N36" i="2" s="1" a="1"/>
  <c r="N36" i="2" s="1"/>
  <c r="K467" i="2"/>
  <c r="L467" i="2" s="1"/>
  <c r="N467" i="2" s="1" a="1"/>
  <c r="N467" i="2" s="1"/>
  <c r="K443" i="2"/>
  <c r="L443" i="2" s="1"/>
  <c r="N443" i="2" s="1" a="1"/>
  <c r="N443" i="2" s="1"/>
  <c r="K395" i="2"/>
  <c r="L395" i="2" s="1"/>
  <c r="N395" i="2" s="1" a="1"/>
  <c r="N395" i="2" s="1"/>
  <c r="K299" i="2"/>
  <c r="L299" i="2" s="1"/>
  <c r="N299" i="2" s="1" a="1"/>
  <c r="N299" i="2" s="1"/>
  <c r="K131" i="2"/>
  <c r="L131" i="2" s="1"/>
  <c r="N131" i="2" s="1" a="1"/>
  <c r="N131" i="2" s="1"/>
  <c r="K95" i="2"/>
  <c r="L95" i="2" s="1"/>
  <c r="N95" i="2" s="1" a="1"/>
  <c r="N95" i="2" s="1"/>
  <c r="K59" i="2"/>
  <c r="L59" i="2" s="1"/>
  <c r="N59" i="2" s="1" a="1"/>
  <c r="N59" i="2" s="1"/>
  <c r="K35" i="2"/>
  <c r="L35" i="2" s="1"/>
  <c r="N35" i="2" s="1" a="1"/>
  <c r="N35" i="2" s="1"/>
  <c r="L479" i="2"/>
  <c r="N479" i="2" s="1" a="1"/>
  <c r="N479" i="2" s="1"/>
  <c r="K382" i="2"/>
  <c r="L382" i="2" s="1"/>
  <c r="N382" i="2" s="1" a="1"/>
  <c r="N382" i="2" s="1"/>
  <c r="K429" i="2"/>
  <c r="L429" i="2" s="1"/>
  <c r="N429" i="2" s="1" a="1"/>
  <c r="N429" i="2" s="1"/>
  <c r="K213" i="2"/>
  <c r="L213" i="2" s="1"/>
  <c r="N213" i="2" s="1" a="1"/>
  <c r="N213" i="2" s="1"/>
  <c r="K45" i="2"/>
  <c r="L45" i="2" s="1"/>
  <c r="N45" i="2" s="1" a="1"/>
  <c r="N45" i="2" s="1"/>
  <c r="K33" i="2"/>
  <c r="L33" i="2" s="1"/>
  <c r="N33" i="2" s="1" a="1"/>
  <c r="N33" i="2" s="1"/>
  <c r="L179" i="2"/>
  <c r="N179" i="2" s="1" a="1"/>
  <c r="N179" i="2" s="1"/>
  <c r="K468" i="2"/>
  <c r="L468" i="2" s="1"/>
  <c r="N468" i="2" s="1" a="1"/>
  <c r="N468" i="2" s="1"/>
  <c r="K372" i="2"/>
  <c r="L372" i="2" s="1"/>
  <c r="N372" i="2" s="1" a="1"/>
  <c r="N372" i="2" s="1"/>
  <c r="K288" i="2"/>
  <c r="L288" i="2" s="1"/>
  <c r="N288" i="2" s="1" a="1"/>
  <c r="N288" i="2" s="1"/>
  <c r="K252" i="2"/>
  <c r="L252" i="2" s="1"/>
  <c r="N252" i="2" s="1" a="1"/>
  <c r="N252" i="2" s="1"/>
  <c r="K216" i="2"/>
  <c r="L216" i="2" s="1"/>
  <c r="N216" i="2" s="1" a="1"/>
  <c r="N216" i="2" s="1"/>
  <c r="K24" i="2"/>
  <c r="L24" i="2" s="1"/>
  <c r="N24" i="2" s="1" a="1"/>
  <c r="N24" i="2" s="1"/>
  <c r="K419" i="2"/>
  <c r="L419" i="2" s="1"/>
  <c r="N419" i="2" s="1" a="1"/>
  <c r="N419" i="2" s="1"/>
  <c r="K347" i="2"/>
  <c r="L347" i="2" s="1"/>
  <c r="N347" i="2" s="1" a="1"/>
  <c r="N347" i="2" s="1"/>
  <c r="K251" i="2"/>
  <c r="L251" i="2" s="1"/>
  <c r="N251" i="2" s="1" a="1"/>
  <c r="N251" i="2" s="1"/>
  <c r="K167" i="2"/>
  <c r="L167" i="2" s="1"/>
  <c r="N167" i="2" s="1" a="1"/>
  <c r="N167" i="2" s="1"/>
  <c r="K47" i="2"/>
  <c r="L47" i="2" s="1"/>
  <c r="N47" i="2" s="1" a="1"/>
  <c r="N47" i="2" s="1"/>
  <c r="K490" i="2"/>
  <c r="L490" i="2" s="1"/>
  <c r="N490" i="2" s="1" a="1"/>
  <c r="N490" i="2" s="1"/>
  <c r="K478" i="2"/>
  <c r="L478" i="2" s="1"/>
  <c r="N478" i="2" s="1" a="1"/>
  <c r="N478" i="2" s="1"/>
  <c r="K466" i="2"/>
  <c r="L466" i="2" s="1"/>
  <c r="N466" i="2" s="1" a="1"/>
  <c r="N466" i="2" s="1"/>
  <c r="K418" i="2"/>
  <c r="L418" i="2" s="1"/>
  <c r="N418" i="2" s="1" a="1"/>
  <c r="N418" i="2" s="1"/>
  <c r="K394" i="2"/>
  <c r="L394" i="2" s="1"/>
  <c r="N394" i="2" s="1" a="1"/>
  <c r="N394" i="2" s="1"/>
  <c r="K370" i="2"/>
  <c r="L370" i="2" s="1"/>
  <c r="N370" i="2" s="1" a="1"/>
  <c r="N370" i="2" s="1"/>
  <c r="K358" i="2"/>
  <c r="L358" i="2" s="1"/>
  <c r="N358" i="2" s="1" a="1"/>
  <c r="N358" i="2" s="1"/>
  <c r="K334" i="2"/>
  <c r="L334" i="2" s="1"/>
  <c r="N334" i="2" s="1" a="1"/>
  <c r="N334" i="2" s="1"/>
  <c r="L500" i="2"/>
  <c r="N500" i="2" s="1" a="1"/>
  <c r="N500" i="2" s="1"/>
  <c r="L260" i="2"/>
  <c r="N260" i="2" s="1" a="1"/>
  <c r="N260" i="2" s="1"/>
  <c r="K44" i="2"/>
  <c r="L44" i="2" s="1"/>
  <c r="N44" i="2" s="1" a="1"/>
  <c r="N44" i="2" s="1"/>
  <c r="K20" i="2"/>
  <c r="L20" i="2" s="1"/>
  <c r="N20" i="2" s="1" a="1"/>
  <c r="N20" i="2" s="1"/>
  <c r="K139" i="2"/>
  <c r="L139" i="2"/>
  <c r="N139" i="2" s="1" a="1"/>
  <c r="N139" i="2" s="1"/>
  <c r="L499" i="2"/>
  <c r="N499" i="2" s="1" a="1"/>
  <c r="N499" i="2" s="1"/>
  <c r="L391" i="2"/>
  <c r="N391" i="2" s="1" a="1"/>
  <c r="N391" i="2" s="1"/>
  <c r="L319" i="2"/>
  <c r="N319" i="2" s="1" a="1"/>
  <c r="N319" i="2" s="1"/>
  <c r="K104" i="2"/>
  <c r="L104" i="2" s="1"/>
  <c r="N104" i="2" s="1" a="1"/>
  <c r="N104" i="2" s="1"/>
  <c r="K320" i="2"/>
  <c r="L320" i="2" s="1"/>
  <c r="N320" i="2" s="1" a="1"/>
  <c r="N320" i="2" s="1"/>
  <c r="L487" i="2"/>
  <c r="N487" i="2" s="1" a="1"/>
  <c r="N487" i="2" s="1"/>
  <c r="L379" i="2"/>
  <c r="N379" i="2" s="1" a="1"/>
  <c r="N379" i="2" s="1"/>
  <c r="L307" i="2"/>
  <c r="N307" i="2" s="1" a="1"/>
  <c r="N307" i="2" s="1"/>
  <c r="L19" i="2"/>
  <c r="N19" i="2" s="1" a="1"/>
  <c r="N19" i="2" s="1"/>
  <c r="L428" i="2"/>
  <c r="N428" i="2" s="1" a="1"/>
  <c r="N428" i="2" s="1"/>
  <c r="K56" i="2"/>
  <c r="L56" i="2" s="1"/>
  <c r="N56" i="2" s="1" a="1"/>
  <c r="N56" i="2" s="1"/>
  <c r="L32" i="2"/>
  <c r="N32" i="2" s="1" a="1"/>
  <c r="N32" i="2" s="1"/>
  <c r="L367" i="2"/>
  <c r="N367" i="2" s="1" a="1"/>
  <c r="N367" i="2" s="1"/>
  <c r="L115" i="2"/>
  <c r="N115" i="2" s="1" a="1"/>
  <c r="N115" i="2" s="1"/>
  <c r="K470" i="2"/>
  <c r="L470" i="2" s="1"/>
  <c r="N470" i="2" s="1" a="1"/>
  <c r="N470" i="2" s="1"/>
  <c r="K434" i="2"/>
  <c r="L434" i="2"/>
  <c r="N434" i="2" s="1" a="1"/>
  <c r="N434" i="2" s="1"/>
  <c r="K398" i="2"/>
  <c r="L398" i="2" s="1"/>
  <c r="N398" i="2" s="1" a="1"/>
  <c r="N398" i="2" s="1"/>
  <c r="K374" i="2"/>
  <c r="L374" i="2" s="1"/>
  <c r="N374" i="2" s="1" a="1"/>
  <c r="N374" i="2" s="1"/>
  <c r="K362" i="2"/>
  <c r="L362" i="2"/>
  <c r="N362" i="2" s="1" a="1"/>
  <c r="N362" i="2" s="1"/>
  <c r="K338" i="2"/>
  <c r="L338" i="2" s="1"/>
  <c r="N338" i="2" s="1" a="1"/>
  <c r="N338" i="2" s="1"/>
  <c r="K326" i="2"/>
  <c r="L326" i="2" s="1"/>
  <c r="N326" i="2" s="1" a="1"/>
  <c r="N326" i="2" s="1"/>
  <c r="K302" i="2"/>
  <c r="L302" i="2"/>
  <c r="N302" i="2" s="1" a="1"/>
  <c r="N302" i="2" s="1"/>
  <c r="K266" i="2"/>
  <c r="L266" i="2"/>
  <c r="N266" i="2" s="1" a="1"/>
  <c r="N266" i="2" s="1"/>
  <c r="K254" i="2"/>
  <c r="L254" i="2" s="1"/>
  <c r="N254" i="2" s="1" a="1"/>
  <c r="N254" i="2" s="1"/>
  <c r="K230" i="2"/>
  <c r="L230" i="2" s="1"/>
  <c r="N230" i="2" s="1" a="1"/>
  <c r="N230" i="2" s="1"/>
  <c r="K194" i="2"/>
  <c r="L194" i="2" s="1"/>
  <c r="N194" i="2" s="1" a="1"/>
  <c r="N194" i="2" s="1"/>
  <c r="K158" i="2"/>
  <c r="L158" i="2" s="1"/>
  <c r="N158" i="2" s="1" a="1"/>
  <c r="N158" i="2" s="1"/>
  <c r="K122" i="2"/>
  <c r="L122" i="2" s="1"/>
  <c r="N122" i="2" s="1" a="1"/>
  <c r="N122" i="2" s="1"/>
  <c r="K110" i="2"/>
  <c r="L110" i="2" s="1"/>
  <c r="N110" i="2" s="1" a="1"/>
  <c r="N110" i="2" s="1"/>
  <c r="K74" i="2"/>
  <c r="L74" i="2"/>
  <c r="N74" i="2" s="1" a="1"/>
  <c r="N74" i="2" s="1"/>
  <c r="K50" i="2"/>
  <c r="L50" i="2" s="1"/>
  <c r="N50" i="2" s="1" a="1"/>
  <c r="N50" i="2" s="1"/>
  <c r="K38" i="2"/>
  <c r="L38" i="2" s="1"/>
  <c r="N38" i="2" s="1" a="1"/>
  <c r="N38" i="2" s="1"/>
  <c r="K14" i="2"/>
  <c r="L14" i="2" s="1"/>
  <c r="N14" i="2" s="1" a="1"/>
  <c r="N14" i="2" s="1"/>
  <c r="K2" i="2"/>
  <c r="L2" i="2"/>
  <c r="N2" i="2" s="1" a="1"/>
  <c r="N2" i="2" s="1"/>
  <c r="K469" i="2"/>
  <c r="L469" i="2" s="1"/>
  <c r="N469" i="2" s="1" a="1"/>
  <c r="N469" i="2" s="1"/>
  <c r="K433" i="2"/>
  <c r="L433" i="2" s="1"/>
  <c r="N433" i="2" s="1" a="1"/>
  <c r="N433" i="2" s="1"/>
  <c r="K409" i="2"/>
  <c r="L409" i="2" s="1"/>
  <c r="N409" i="2" s="1" a="1"/>
  <c r="N409" i="2" s="1"/>
  <c r="K397" i="2"/>
  <c r="L397" i="2" s="1"/>
  <c r="N397" i="2" s="1" a="1"/>
  <c r="N397" i="2" s="1"/>
  <c r="K373" i="2"/>
  <c r="L373" i="2"/>
  <c r="N373" i="2" s="1" a="1"/>
  <c r="N373" i="2" s="1"/>
  <c r="K361" i="2"/>
  <c r="L361" i="2" s="1"/>
  <c r="N361" i="2" s="1" a="1"/>
  <c r="N361" i="2" s="1"/>
  <c r="K337" i="2"/>
  <c r="L337" i="2"/>
  <c r="N337" i="2" s="1" a="1"/>
  <c r="N337" i="2" s="1"/>
  <c r="K313" i="2"/>
  <c r="L313" i="2" s="1"/>
  <c r="N313" i="2" s="1" a="1"/>
  <c r="N313" i="2" s="1"/>
  <c r="K301" i="2"/>
  <c r="L301" i="2" s="1"/>
  <c r="N301" i="2" s="1" a="1"/>
  <c r="N301" i="2" s="1"/>
  <c r="K241" i="2"/>
  <c r="L241" i="2" s="1"/>
  <c r="N241" i="2" s="1" a="1"/>
  <c r="N241" i="2" s="1"/>
  <c r="K229" i="2"/>
  <c r="L229" i="2" s="1"/>
  <c r="N229" i="2" s="1" a="1"/>
  <c r="N229" i="2" s="1"/>
  <c r="K157" i="2"/>
  <c r="L157" i="2" s="1"/>
  <c r="N157" i="2" s="1" a="1"/>
  <c r="N157" i="2" s="1"/>
  <c r="K145" i="2"/>
  <c r="L145" i="2" s="1"/>
  <c r="N145" i="2" s="1" a="1"/>
  <c r="N145" i="2" s="1"/>
  <c r="K109" i="2"/>
  <c r="L109" i="2" s="1"/>
  <c r="N109" i="2" s="1" a="1"/>
  <c r="N109" i="2" s="1"/>
  <c r="K85" i="2"/>
  <c r="L85" i="2"/>
  <c r="N85" i="2" s="1" a="1"/>
  <c r="N85" i="2" s="1"/>
  <c r="K73" i="2"/>
  <c r="L73" i="2" s="1"/>
  <c r="N73" i="2" s="1" a="1"/>
  <c r="N73" i="2" s="1"/>
  <c r="K49" i="2"/>
  <c r="L49" i="2" s="1"/>
  <c r="N49" i="2" s="1" a="1"/>
  <c r="N49" i="2" s="1"/>
  <c r="K37" i="2"/>
  <c r="L37" i="2" s="1"/>
  <c r="N37" i="2" s="1" a="1"/>
  <c r="N37" i="2" s="1"/>
  <c r="K13" i="2"/>
  <c r="L13" i="2" s="1"/>
  <c r="N13" i="2" s="1" a="1"/>
  <c r="N13" i="2" s="1"/>
  <c r="L253" i="2"/>
  <c r="N253" i="2" s="1" a="1"/>
  <c r="N253" i="2" s="1"/>
  <c r="L501" i="2"/>
  <c r="N501" i="2" s="1" a="1"/>
  <c r="N501" i="2" s="1"/>
  <c r="L181" i="2"/>
  <c r="N181" i="2" s="1" a="1"/>
  <c r="N181" i="2" s="1"/>
  <c r="L408" i="2"/>
  <c r="N408" i="2" s="1" a="1"/>
  <c r="N408" i="2" s="1"/>
  <c r="K310" i="2"/>
  <c r="L310" i="2" s="1"/>
  <c r="N310" i="2" s="1" a="1"/>
  <c r="N310" i="2" s="1"/>
  <c r="L431" i="2"/>
  <c r="N431" i="2" s="1" a="1"/>
  <c r="N431" i="2" s="1"/>
  <c r="L263" i="2"/>
  <c r="N263" i="2" s="1" a="1"/>
  <c r="N263" i="2" s="1"/>
  <c r="K128" i="2"/>
  <c r="L128" i="2" s="1"/>
  <c r="N128" i="2" s="1" a="1"/>
  <c r="N128" i="2" s="1"/>
  <c r="L11" i="2"/>
  <c r="N11" i="2" s="1" a="1"/>
  <c r="N11" i="2" s="1"/>
  <c r="L463" i="2"/>
  <c r="N463" i="2" s="1" a="1"/>
  <c r="N463" i="2" s="1"/>
  <c r="L331" i="2"/>
  <c r="N331" i="2" s="1" a="1"/>
  <c r="N331" i="2" s="1"/>
  <c r="L259" i="2"/>
  <c r="N259" i="2" s="1" a="1"/>
  <c r="N259" i="2" s="1"/>
  <c r="L192" i="2"/>
  <c r="N192" i="2" s="1" a="1"/>
  <c r="N192" i="2" s="1"/>
  <c r="L156" i="2"/>
  <c r="N156" i="2" s="1" a="1"/>
  <c r="N156" i="2" s="1"/>
  <c r="L127" i="2"/>
  <c r="N127" i="2" s="1" a="1"/>
  <c r="N127" i="2" s="1"/>
  <c r="L103" i="2"/>
  <c r="N103" i="2" s="1" a="1"/>
  <c r="N103" i="2" s="1"/>
  <c r="L71" i="2"/>
  <c r="N71" i="2" s="1" a="1"/>
  <c r="N71" i="2" s="1"/>
  <c r="L7" i="2"/>
  <c r="N7" i="2" s="1" a="1"/>
  <c r="N7" i="2" s="1"/>
  <c r="L144" i="2"/>
  <c r="N144" i="2" s="1" a="1"/>
  <c r="N144" i="2" s="1"/>
  <c r="L84" i="2"/>
  <c r="N84" i="2" s="1" a="1"/>
  <c r="N84" i="2" s="1"/>
  <c r="L143" i="2"/>
  <c r="N143" i="2" s="1" a="1"/>
  <c r="N143" i="2" s="1"/>
  <c r="L83" i="2"/>
  <c r="N83" i="2" s="1" a="1"/>
  <c r="N83" i="2" s="1"/>
  <c r="L346" i="2"/>
  <c r="N346" i="2" s="1" a="1"/>
  <c r="N346" i="2" s="1"/>
  <c r="L407" i="2"/>
  <c r="N407" i="2" s="1" a="1"/>
  <c r="N407" i="2" s="1"/>
  <c r="L108" i="2"/>
  <c r="N108" i="2" s="1" a="1"/>
  <c r="N108" i="2" s="1"/>
  <c r="L432" i="2"/>
  <c r="N432" i="2" s="1" a="1"/>
  <c r="N432" i="2" s="1"/>
  <c r="L264" i="2"/>
  <c r="N264" i="2" s="1" a="1"/>
  <c r="N264" i="2" s="1"/>
  <c r="L107" i="2"/>
  <c r="N107" i="2" s="1" a="1"/>
  <c r="N107" i="2" s="1"/>
  <c r="K68" i="2"/>
  <c r="L68" i="2" s="1"/>
  <c r="N68" i="2" s="1" a="1"/>
  <c r="N68" i="2" s="1"/>
  <c r="L336" i="2"/>
  <c r="N336" i="2" s="1" a="1"/>
  <c r="N336" i="2" s="1"/>
  <c r="L12" i="2"/>
  <c r="N12" i="2" s="1" a="1"/>
  <c r="N12" i="2" s="1"/>
  <c r="L335" i="2"/>
  <c r="N335" i="2" s="1" a="1"/>
  <c r="N335" i="2" s="1"/>
  <c r="L72" i="2"/>
  <c r="N72" i="2" s="1" a="1"/>
  <c r="N72" i="2" s="1"/>
  <c r="L451" i="2"/>
  <c r="N451" i="2" s="1" a="1"/>
  <c r="N451" i="2" s="1"/>
  <c r="L427" i="2"/>
  <c r="N427" i="2" s="1" a="1"/>
  <c r="N427" i="2" s="1"/>
  <c r="L360" i="2"/>
  <c r="N360" i="2" s="1" a="1"/>
  <c r="N360" i="2" s="1"/>
  <c r="L295" i="2"/>
  <c r="N295" i="2" s="1" a="1"/>
  <c r="N295" i="2" s="1"/>
  <c r="L191" i="2"/>
  <c r="N191" i="2" s="1" a="1"/>
  <c r="N191" i="2" s="1"/>
  <c r="L155" i="2"/>
  <c r="N155" i="2" s="1" a="1"/>
  <c r="N155" i="2" s="1"/>
  <c r="K462" i="2"/>
  <c r="L462" i="2"/>
  <c r="N462" i="2" s="1" a="1"/>
  <c r="N462" i="2" s="1"/>
  <c r="K414" i="2"/>
  <c r="L414" i="2" s="1"/>
  <c r="N414" i="2" s="1" a="1"/>
  <c r="N414" i="2" s="1"/>
  <c r="K282" i="2"/>
  <c r="L282" i="2" s="1"/>
  <c r="N282" i="2" s="1" a="1"/>
  <c r="N282" i="2" s="1"/>
  <c r="L162" i="2"/>
  <c r="N162" i="2" s="1" a="1"/>
  <c r="N162" i="2" s="1"/>
  <c r="K126" i="2"/>
  <c r="L126" i="2" s="1"/>
  <c r="N126" i="2" s="1" a="1"/>
  <c r="N126" i="2" s="1"/>
  <c r="K18" i="2"/>
  <c r="L18" i="2" s="1"/>
  <c r="N18" i="2" s="1" a="1"/>
  <c r="N18" i="2" s="1"/>
  <c r="K190" i="2"/>
  <c r="L190" i="2" s="1"/>
  <c r="N190" i="2" s="1" a="1"/>
  <c r="N190" i="2" s="1"/>
  <c r="K461" i="2"/>
  <c r="L461" i="2" s="1"/>
  <c r="N461" i="2" s="1" a="1"/>
  <c r="N461" i="2" s="1"/>
  <c r="K413" i="2"/>
  <c r="L413" i="2" s="1"/>
  <c r="N413" i="2" s="1" a="1"/>
  <c r="N413" i="2" s="1"/>
  <c r="K365" i="2"/>
  <c r="L365" i="2" s="1"/>
  <c r="N365" i="2" s="1" a="1"/>
  <c r="N365" i="2" s="1"/>
  <c r="K341" i="2"/>
  <c r="L341" i="2" s="1"/>
  <c r="N341" i="2" s="1" a="1"/>
  <c r="N341" i="2" s="1"/>
  <c r="K281" i="2"/>
  <c r="L281" i="2" s="1"/>
  <c r="N281" i="2" s="1" a="1"/>
  <c r="N281" i="2" s="1"/>
  <c r="K233" i="2"/>
  <c r="L233" i="2"/>
  <c r="N233" i="2" s="1" a="1"/>
  <c r="N233" i="2" s="1"/>
  <c r="K185" i="2"/>
  <c r="L185" i="2" s="1"/>
  <c r="N185" i="2" s="1" a="1"/>
  <c r="N185" i="2" s="1"/>
  <c r="K113" i="2"/>
  <c r="L113" i="2" s="1"/>
  <c r="N113" i="2" s="1" a="1"/>
  <c r="N113" i="2" s="1"/>
  <c r="K41" i="2"/>
  <c r="L41" i="2" s="1"/>
  <c r="N41" i="2" s="1" a="1"/>
  <c r="N41" i="2" s="1"/>
  <c r="K442" i="2"/>
  <c r="L442" i="2" s="1"/>
  <c r="N442" i="2" s="1" a="1"/>
  <c r="N442" i="2" s="1"/>
  <c r="K472" i="2"/>
  <c r="L472" i="2" s="1"/>
  <c r="N472" i="2" s="1" a="1"/>
  <c r="N472" i="2" s="1"/>
  <c r="K424" i="2"/>
  <c r="L424" i="2" s="1"/>
  <c r="N424" i="2" s="1" a="1"/>
  <c r="N424" i="2" s="1"/>
  <c r="K364" i="2"/>
  <c r="L364" i="2" s="1"/>
  <c r="N364" i="2" s="1" a="1"/>
  <c r="N364" i="2" s="1"/>
  <c r="K316" i="2"/>
  <c r="L316" i="2" s="1"/>
  <c r="N316" i="2" s="1" a="1"/>
  <c r="N316" i="2" s="1"/>
  <c r="K268" i="2"/>
  <c r="L268" i="2" s="1"/>
  <c r="N268" i="2" s="1" a="1"/>
  <c r="N268" i="2" s="1"/>
  <c r="K220" i="2"/>
  <c r="L220" i="2" s="1"/>
  <c r="N220" i="2" s="1" a="1"/>
  <c r="N220" i="2" s="1"/>
  <c r="K172" i="2"/>
  <c r="L172" i="2" s="1"/>
  <c r="N172" i="2" s="1" a="1"/>
  <c r="N172" i="2" s="1"/>
  <c r="K124" i="2"/>
  <c r="L124" i="2" s="1"/>
  <c r="N124" i="2" s="1" a="1"/>
  <c r="N124" i="2" s="1"/>
  <c r="K88" i="2"/>
  <c r="L88" i="2" s="1"/>
  <c r="N88" i="2" s="1" a="1"/>
  <c r="N88" i="2" s="1"/>
  <c r="K40" i="2"/>
  <c r="L40" i="2" s="1"/>
  <c r="N40" i="2" s="1" a="1"/>
  <c r="N40" i="2" s="1"/>
  <c r="K262" i="2"/>
  <c r="L262" i="2" s="1"/>
  <c r="N262" i="2" s="1" a="1"/>
  <c r="N262" i="2" s="1"/>
  <c r="K78" i="2"/>
  <c r="L78" i="2" s="1"/>
  <c r="N78" i="2" s="1" a="1"/>
  <c r="N78" i="2" s="1"/>
  <c r="L483" i="2"/>
  <c r="N483" i="2" s="1" a="1"/>
  <c r="N483" i="2" s="1"/>
  <c r="K435" i="2"/>
  <c r="L435" i="2" s="1"/>
  <c r="N435" i="2" s="1" a="1"/>
  <c r="N435" i="2" s="1"/>
  <c r="K387" i="2"/>
  <c r="L387" i="2" s="1"/>
  <c r="N387" i="2" s="1" a="1"/>
  <c r="N387" i="2" s="1"/>
  <c r="K231" i="2"/>
  <c r="L231" i="2" s="1"/>
  <c r="N231" i="2" s="1" a="1"/>
  <c r="N231" i="2" s="1"/>
  <c r="K75" i="2"/>
  <c r="L75" i="2" s="1"/>
  <c r="N75" i="2" s="1" a="1"/>
  <c r="N75" i="2" s="1"/>
  <c r="K430" i="2"/>
  <c r="L430" i="2" s="1"/>
  <c r="N430" i="2" s="1" a="1"/>
  <c r="N430" i="2" s="1"/>
  <c r="K366" i="2"/>
  <c r="L366" i="2" s="1"/>
  <c r="N366" i="2" s="1" a="1"/>
  <c r="N366" i="2" s="1"/>
  <c r="K322" i="2"/>
  <c r="L322" i="2" s="1"/>
  <c r="N322" i="2" s="1" a="1"/>
  <c r="N322" i="2" s="1"/>
  <c r="K106" i="2"/>
  <c r="L106" i="2" s="1"/>
  <c r="N106" i="2" s="1" a="1"/>
  <c r="N106" i="2" s="1"/>
  <c r="L278" i="2"/>
  <c r="N278" i="2" s="1" a="1"/>
  <c r="N278" i="2" s="1"/>
  <c r="K438" i="2"/>
  <c r="L438" i="2" s="1"/>
  <c r="N438" i="2" s="1" a="1"/>
  <c r="N438" i="2" s="1"/>
  <c r="L342" i="2"/>
  <c r="N342" i="2" s="1" a="1"/>
  <c r="N342" i="2" s="1"/>
  <c r="L270" i="2"/>
  <c r="N270" i="2" s="1" a="1"/>
  <c r="N270" i="2" s="1"/>
  <c r="K234" i="2"/>
  <c r="L234" i="2" s="1"/>
  <c r="N234" i="2" s="1" a="1"/>
  <c r="N234" i="2" s="1"/>
  <c r="L198" i="2"/>
  <c r="N198" i="2" s="1" a="1"/>
  <c r="N198" i="2" s="1"/>
  <c r="L90" i="2"/>
  <c r="N90" i="2" s="1" a="1"/>
  <c r="N90" i="2" s="1"/>
  <c r="L42" i="2"/>
  <c r="N42" i="2" s="1" a="1"/>
  <c r="N42" i="2" s="1"/>
  <c r="K485" i="2"/>
  <c r="L485" i="2"/>
  <c r="N485" i="2" s="1" a="1"/>
  <c r="N485" i="2" s="1"/>
  <c r="K425" i="2"/>
  <c r="L425" i="2" s="1"/>
  <c r="N425" i="2" s="1" a="1"/>
  <c r="N425" i="2" s="1"/>
  <c r="K377" i="2"/>
  <c r="L377" i="2" s="1"/>
  <c r="N377" i="2" s="1" a="1"/>
  <c r="N377" i="2" s="1"/>
  <c r="K317" i="2"/>
  <c r="L317" i="2" s="1"/>
  <c r="N317" i="2" s="1" a="1"/>
  <c r="N317" i="2" s="1"/>
  <c r="K269" i="2"/>
  <c r="L269" i="2" s="1"/>
  <c r="N269" i="2" s="1" a="1"/>
  <c r="N269" i="2" s="1"/>
  <c r="K221" i="2"/>
  <c r="L221" i="2" s="1"/>
  <c r="N221" i="2" s="1" a="1"/>
  <c r="N221" i="2" s="1"/>
  <c r="K161" i="2"/>
  <c r="L161" i="2" s="1"/>
  <c r="N161" i="2" s="1" a="1"/>
  <c r="N161" i="2" s="1"/>
  <c r="K125" i="2"/>
  <c r="L125" i="2" s="1"/>
  <c r="N125" i="2" s="1" a="1"/>
  <c r="N125" i="2" s="1"/>
  <c r="K77" i="2"/>
  <c r="L77" i="2"/>
  <c r="N77" i="2" s="1" a="1"/>
  <c r="N77" i="2" s="1"/>
  <c r="K53" i="2"/>
  <c r="L53" i="2"/>
  <c r="N53" i="2" s="1" a="1"/>
  <c r="N53" i="2" s="1"/>
  <c r="K5" i="2"/>
  <c r="L5" i="2" s="1"/>
  <c r="N5" i="2" s="1" a="1"/>
  <c r="N5" i="2" s="1"/>
  <c r="K496" i="2"/>
  <c r="L496" i="2" s="1"/>
  <c r="N496" i="2" s="1" a="1"/>
  <c r="N496" i="2" s="1"/>
  <c r="K448" i="2"/>
  <c r="L448" i="2" s="1"/>
  <c r="N448" i="2" s="1" a="1"/>
  <c r="N448" i="2" s="1"/>
  <c r="K412" i="2"/>
  <c r="L412" i="2"/>
  <c r="N412" i="2" s="1" a="1"/>
  <c r="N412" i="2" s="1"/>
  <c r="K376" i="2"/>
  <c r="L376" i="2"/>
  <c r="N376" i="2" s="1" a="1"/>
  <c r="N376" i="2" s="1"/>
  <c r="K328" i="2"/>
  <c r="L328" i="2" s="1"/>
  <c r="N328" i="2" s="1" a="1"/>
  <c r="N328" i="2" s="1"/>
  <c r="K280" i="2"/>
  <c r="L280" i="2" s="1"/>
  <c r="N280" i="2" s="1" a="1"/>
  <c r="N280" i="2" s="1"/>
  <c r="K232" i="2"/>
  <c r="L232" i="2" s="1"/>
  <c r="N232" i="2" s="1" a="1"/>
  <c r="N232" i="2" s="1"/>
  <c r="K196" i="2"/>
  <c r="L196" i="2" s="1"/>
  <c r="N196" i="2" s="1" a="1"/>
  <c r="N196" i="2" s="1"/>
  <c r="K148" i="2"/>
  <c r="L148" i="2"/>
  <c r="N148" i="2" s="1" a="1"/>
  <c r="N148" i="2" s="1"/>
  <c r="K100" i="2"/>
  <c r="L100" i="2" s="1"/>
  <c r="N100" i="2" s="1" a="1"/>
  <c r="N100" i="2" s="1"/>
  <c r="K76" i="2"/>
  <c r="L76" i="2" s="1"/>
  <c r="N76" i="2" s="1" a="1"/>
  <c r="N76" i="2" s="1"/>
  <c r="K28" i="2"/>
  <c r="L28" i="2" s="1"/>
  <c r="N28" i="2" s="1" a="1"/>
  <c r="N28" i="2" s="1"/>
  <c r="L495" i="2"/>
  <c r="N495" i="2" s="1" a="1"/>
  <c r="N495" i="2" s="1"/>
  <c r="L447" i="2"/>
  <c r="N447" i="2" s="1" a="1"/>
  <c r="N447" i="2" s="1"/>
  <c r="K411" i="2"/>
  <c r="L411" i="2" s="1"/>
  <c r="N411" i="2" s="1" a="1"/>
  <c r="N411" i="2" s="1"/>
  <c r="K279" i="2"/>
  <c r="L279" i="2" s="1"/>
  <c r="N279" i="2" s="1" a="1"/>
  <c r="N279" i="2" s="1"/>
  <c r="K207" i="2"/>
  <c r="L207" i="2" s="1"/>
  <c r="N207" i="2" s="1" a="1"/>
  <c r="N207" i="2" s="1"/>
  <c r="K15" i="2"/>
  <c r="L15" i="2" s="1"/>
  <c r="N15" i="2" s="1" a="1"/>
  <c r="N15" i="2" s="1"/>
  <c r="K402" i="2"/>
  <c r="L402" i="2" s="1"/>
  <c r="N402" i="2" s="1" a="1"/>
  <c r="N402" i="2" s="1"/>
  <c r="K363" i="2"/>
  <c r="L363" i="2" s="1"/>
  <c r="N363" i="2" s="1" a="1"/>
  <c r="N363" i="2" s="1"/>
  <c r="K171" i="2"/>
  <c r="L171" i="2" s="1"/>
  <c r="N171" i="2" s="1" a="1"/>
  <c r="N171" i="2" s="1"/>
  <c r="L169" i="2"/>
  <c r="N169" i="2" s="1" a="1"/>
  <c r="N169" i="2" s="1"/>
  <c r="L133" i="2"/>
  <c r="N133" i="2" s="1" a="1"/>
  <c r="N133" i="2" s="1"/>
  <c r="L97" i="2"/>
  <c r="N97" i="2" s="1" a="1"/>
  <c r="N97" i="2" s="1"/>
  <c r="L25" i="2"/>
  <c r="N25" i="2" s="1" a="1"/>
  <c r="N25" i="2" s="1"/>
  <c r="L450" i="2"/>
  <c r="N450" i="2" s="1" a="1"/>
  <c r="N450" i="2" s="1"/>
  <c r="L390" i="2"/>
  <c r="N390" i="2" s="1" a="1"/>
  <c r="N390" i="2" s="1"/>
  <c r="K306" i="2"/>
  <c r="L306" i="2" s="1"/>
  <c r="N306" i="2" s="1" a="1"/>
  <c r="N306" i="2" s="1"/>
  <c r="L186" i="2"/>
  <c r="N186" i="2" s="1" a="1"/>
  <c r="N186" i="2" s="1"/>
  <c r="K150" i="2"/>
  <c r="L150" i="2"/>
  <c r="N150" i="2" s="1" a="1"/>
  <c r="N150" i="2" s="1"/>
  <c r="K102" i="2"/>
  <c r="L102" i="2" s="1"/>
  <c r="N102" i="2" s="1" a="1"/>
  <c r="N102" i="2" s="1"/>
  <c r="L54" i="2"/>
  <c r="N54" i="2" s="1" a="1"/>
  <c r="N54" i="2" s="1"/>
  <c r="L6" i="2"/>
  <c r="N6" i="2" s="1" a="1"/>
  <c r="N6" i="2" s="1"/>
  <c r="K497" i="2"/>
  <c r="L497" i="2"/>
  <c r="N497" i="2" s="1" a="1"/>
  <c r="N497" i="2" s="1"/>
  <c r="K437" i="2"/>
  <c r="L437" i="2" s="1"/>
  <c r="N437" i="2" s="1" a="1"/>
  <c r="N437" i="2" s="1"/>
  <c r="K401" i="2"/>
  <c r="L401" i="2" s="1"/>
  <c r="N401" i="2" s="1" a="1"/>
  <c r="N401" i="2" s="1"/>
  <c r="K353" i="2"/>
  <c r="L353" i="2" s="1"/>
  <c r="N353" i="2" s="1" a="1"/>
  <c r="N353" i="2" s="1"/>
  <c r="K293" i="2"/>
  <c r="L293" i="2"/>
  <c r="N293" i="2" s="1" a="1"/>
  <c r="N293" i="2" s="1"/>
  <c r="K245" i="2"/>
  <c r="L245" i="2" s="1"/>
  <c r="N245" i="2" s="1" a="1"/>
  <c r="N245" i="2" s="1"/>
  <c r="K209" i="2"/>
  <c r="L209" i="2" s="1"/>
  <c r="N209" i="2" s="1" a="1"/>
  <c r="N209" i="2" s="1"/>
  <c r="K173" i="2"/>
  <c r="L173" i="2" s="1"/>
  <c r="N173" i="2" s="1" a="1"/>
  <c r="N173" i="2" s="1"/>
  <c r="K137" i="2"/>
  <c r="L137" i="2" s="1"/>
  <c r="N137" i="2" s="1" a="1"/>
  <c r="N137" i="2" s="1"/>
  <c r="K89" i="2"/>
  <c r="L89" i="2" s="1"/>
  <c r="N89" i="2" s="1" a="1"/>
  <c r="N89" i="2" s="1"/>
  <c r="K65" i="2"/>
  <c r="L65" i="2" s="1"/>
  <c r="N65" i="2" s="1" a="1"/>
  <c r="N65" i="2" s="1"/>
  <c r="K17" i="2"/>
  <c r="L17" i="2" s="1"/>
  <c r="N17" i="2" s="1" a="1"/>
  <c r="N17" i="2" s="1"/>
  <c r="K34" i="2"/>
  <c r="L34" i="2" s="1"/>
  <c r="N34" i="2" s="1" a="1"/>
  <c r="N34" i="2" s="1"/>
  <c r="K460" i="2"/>
  <c r="L460" i="2" s="1"/>
  <c r="N460" i="2" s="1" a="1"/>
  <c r="N460" i="2" s="1"/>
  <c r="K400" i="2"/>
  <c r="L400" i="2" s="1"/>
  <c r="N400" i="2" s="1" a="1"/>
  <c r="N400" i="2" s="1"/>
  <c r="K340" i="2"/>
  <c r="L340" i="2"/>
  <c r="N340" i="2" s="1" a="1"/>
  <c r="N340" i="2" s="1"/>
  <c r="K292" i="2"/>
  <c r="L292" i="2" s="1"/>
  <c r="N292" i="2" s="1" a="1"/>
  <c r="N292" i="2" s="1"/>
  <c r="K244" i="2"/>
  <c r="L244" i="2" s="1"/>
  <c r="N244" i="2" s="1" a="1"/>
  <c r="N244" i="2" s="1"/>
  <c r="K184" i="2"/>
  <c r="L184" i="2" s="1"/>
  <c r="N184" i="2" s="1" a="1"/>
  <c r="N184" i="2" s="1"/>
  <c r="K136" i="2"/>
  <c r="L136" i="2" s="1"/>
  <c r="N136" i="2" s="1" a="1"/>
  <c r="N136" i="2" s="1"/>
  <c r="K64" i="2"/>
  <c r="L64" i="2" s="1"/>
  <c r="N64" i="2" s="1" a="1"/>
  <c r="N64" i="2" s="1"/>
  <c r="K16" i="2"/>
  <c r="L16" i="2" s="1"/>
  <c r="N16" i="2" s="1" a="1"/>
  <c r="N16" i="2" s="1"/>
  <c r="L399" i="2"/>
  <c r="N399" i="2" s="1" a="1"/>
  <c r="N399" i="2" s="1"/>
  <c r="L351" i="2"/>
  <c r="N351" i="2" s="1" a="1"/>
  <c r="N351" i="2" s="1"/>
  <c r="L303" i="2"/>
  <c r="N303" i="2" s="1" a="1"/>
  <c r="N303" i="2" s="1"/>
  <c r="K147" i="2"/>
  <c r="L147" i="2" s="1"/>
  <c r="N147" i="2" s="1" a="1"/>
  <c r="N147" i="2" s="1"/>
  <c r="K123" i="2"/>
  <c r="L123" i="2" s="1"/>
  <c r="N123" i="2" s="1" a="1"/>
  <c r="N123" i="2" s="1"/>
  <c r="K111" i="2"/>
  <c r="L111" i="2" s="1"/>
  <c r="N111" i="2" s="1" a="1"/>
  <c r="N111" i="2" s="1"/>
  <c r="K459" i="2"/>
  <c r="L459" i="2" s="1"/>
  <c r="N459" i="2" s="1" a="1"/>
  <c r="N459" i="2" s="1"/>
  <c r="K286" i="2"/>
  <c r="L286" i="2" s="1"/>
  <c r="N286" i="2" s="1" a="1"/>
  <c r="N286" i="2" s="1"/>
  <c r="K138" i="2"/>
  <c r="L138" i="2" s="1"/>
  <c r="N138" i="2" s="1" a="1"/>
  <c r="N138" i="2" s="1"/>
  <c r="K58" i="2"/>
  <c r="L58" i="2" s="1"/>
  <c r="N58" i="2" s="1" a="1"/>
  <c r="N58" i="2" s="1"/>
  <c r="K22" i="2"/>
  <c r="L22" i="2" s="1"/>
  <c r="N22" i="2" s="1" a="1"/>
  <c r="N22" i="2" s="1"/>
  <c r="L456" i="2"/>
  <c r="N456" i="2" s="1" a="1"/>
  <c r="N456" i="2" s="1"/>
  <c r="L384" i="2"/>
  <c r="N384" i="2" s="1" a="1"/>
  <c r="N384" i="2" s="1"/>
  <c r="L312" i="2"/>
  <c r="N312" i="2" s="1" a="1"/>
  <c r="N312" i="2" s="1"/>
  <c r="L240" i="2"/>
  <c r="N240" i="2" s="1" a="1"/>
  <c r="N240" i="2" s="1"/>
  <c r="L60" i="2"/>
  <c r="N60" i="2" s="1" a="1"/>
  <c r="N60" i="2" s="1"/>
  <c r="L486" i="2"/>
  <c r="N486" i="2" s="1" a="1"/>
  <c r="N486" i="2" s="1"/>
  <c r="L378" i="2"/>
  <c r="N378" i="2" s="1" a="1"/>
  <c r="N378" i="2" s="1"/>
  <c r="L330" i="2"/>
  <c r="N330" i="2" s="1" a="1"/>
  <c r="N330" i="2" s="1"/>
  <c r="L294" i="2"/>
  <c r="N294" i="2" s="1" a="1"/>
  <c r="N294" i="2" s="1"/>
  <c r="K258" i="2"/>
  <c r="L258" i="2" s="1"/>
  <c r="N258" i="2" s="1" a="1"/>
  <c r="N258" i="2" s="1"/>
  <c r="L210" i="2"/>
  <c r="N210" i="2" s="1" a="1"/>
  <c r="N210" i="2" s="1"/>
  <c r="K174" i="2"/>
  <c r="L174" i="2" s="1"/>
  <c r="N174" i="2" s="1" a="1"/>
  <c r="N174" i="2" s="1"/>
  <c r="L66" i="2"/>
  <c r="N66" i="2" s="1" a="1"/>
  <c r="N66" i="2" s="1"/>
  <c r="L30" i="2"/>
  <c r="N30" i="2" s="1" a="1"/>
  <c r="N30" i="2" s="1"/>
  <c r="K473" i="2"/>
  <c r="L473" i="2" s="1"/>
  <c r="N473" i="2" s="1" a="1"/>
  <c r="N473" i="2" s="1"/>
  <c r="K449" i="2"/>
  <c r="L449" i="2"/>
  <c r="N449" i="2" s="1" a="1"/>
  <c r="N449" i="2" s="1"/>
  <c r="K389" i="2"/>
  <c r="L389" i="2" s="1"/>
  <c r="N389" i="2" s="1" a="1"/>
  <c r="N389" i="2" s="1"/>
  <c r="K329" i="2"/>
  <c r="L329" i="2" s="1"/>
  <c r="N329" i="2" s="1" a="1"/>
  <c r="N329" i="2" s="1"/>
  <c r="K305" i="2"/>
  <c r="L305" i="2" s="1"/>
  <c r="N305" i="2" s="1" a="1"/>
  <c r="N305" i="2" s="1"/>
  <c r="K257" i="2"/>
  <c r="L257" i="2" s="1"/>
  <c r="N257" i="2" s="1" a="1"/>
  <c r="N257" i="2" s="1"/>
  <c r="K197" i="2"/>
  <c r="L197" i="2" s="1"/>
  <c r="N197" i="2" s="1" a="1"/>
  <c r="N197" i="2" s="1"/>
  <c r="K149" i="2"/>
  <c r="L149" i="2" s="1"/>
  <c r="N149" i="2" s="1" a="1"/>
  <c r="N149" i="2" s="1"/>
  <c r="K101" i="2"/>
  <c r="L101" i="2" s="1"/>
  <c r="N101" i="2" s="1" a="1"/>
  <c r="N101" i="2" s="1"/>
  <c r="K29" i="2"/>
  <c r="L29" i="2" s="1"/>
  <c r="N29" i="2" s="1" a="1"/>
  <c r="N29" i="2" s="1"/>
  <c r="K484" i="2"/>
  <c r="L484" i="2" s="1"/>
  <c r="N484" i="2" s="1" a="1"/>
  <c r="N484" i="2" s="1"/>
  <c r="K436" i="2"/>
  <c r="L436" i="2" s="1"/>
  <c r="N436" i="2" s="1" a="1"/>
  <c r="N436" i="2" s="1"/>
  <c r="K388" i="2"/>
  <c r="L388" i="2"/>
  <c r="N388" i="2" s="1" a="1"/>
  <c r="N388" i="2" s="1"/>
  <c r="K352" i="2"/>
  <c r="L352" i="2" s="1"/>
  <c r="N352" i="2" s="1" a="1"/>
  <c r="N352" i="2" s="1"/>
  <c r="K304" i="2"/>
  <c r="L304" i="2" s="1"/>
  <c r="N304" i="2" s="1" a="1"/>
  <c r="N304" i="2" s="1"/>
  <c r="K256" i="2"/>
  <c r="L256" i="2" s="1"/>
  <c r="N256" i="2" s="1" a="1"/>
  <c r="N256" i="2" s="1"/>
  <c r="K208" i="2"/>
  <c r="L208" i="2" s="1"/>
  <c r="N208" i="2" s="1" a="1"/>
  <c r="N208" i="2" s="1"/>
  <c r="K160" i="2"/>
  <c r="L160" i="2" s="1"/>
  <c r="N160" i="2" s="1" a="1"/>
  <c r="N160" i="2" s="1"/>
  <c r="K112" i="2"/>
  <c r="L112" i="2" s="1"/>
  <c r="N112" i="2" s="1" a="1"/>
  <c r="N112" i="2" s="1"/>
  <c r="K52" i="2"/>
  <c r="L52" i="2"/>
  <c r="N52" i="2" s="1" a="1"/>
  <c r="N52" i="2" s="1"/>
  <c r="K4" i="2"/>
  <c r="L4" i="2" s="1"/>
  <c r="N4" i="2" s="1" a="1"/>
  <c r="N4" i="2" s="1"/>
  <c r="K222" i="2"/>
  <c r="L222" i="2" s="1"/>
  <c r="N222" i="2" s="1" a="1"/>
  <c r="N222" i="2" s="1"/>
  <c r="K114" i="2"/>
  <c r="L114" i="2" s="1"/>
  <c r="N114" i="2" s="1" a="1"/>
  <c r="N114" i="2" s="1"/>
  <c r="L471" i="2"/>
  <c r="N471" i="2" s="1" a="1"/>
  <c r="N471" i="2" s="1"/>
  <c r="L423" i="2"/>
  <c r="N423" i="2" s="1" a="1"/>
  <c r="N423" i="2" s="1"/>
  <c r="L375" i="2"/>
  <c r="N375" i="2" s="1" a="1"/>
  <c r="N375" i="2" s="1"/>
  <c r="K255" i="2"/>
  <c r="L255" i="2" s="1"/>
  <c r="N255" i="2" s="1" a="1"/>
  <c r="N255" i="2" s="1"/>
  <c r="K99" i="2"/>
  <c r="L99" i="2" s="1"/>
  <c r="N99" i="2" s="1" a="1"/>
  <c r="N99" i="2" s="1"/>
  <c r="K474" i="2"/>
  <c r="L474" i="2" s="1"/>
  <c r="N474" i="2" s="1" a="1"/>
  <c r="N474" i="2" s="1"/>
  <c r="K327" i="2"/>
  <c r="L327" i="2" s="1"/>
  <c r="N327" i="2" s="1" a="1"/>
  <c r="N327" i="2" s="1"/>
  <c r="K498" i="2"/>
  <c r="L498" i="2" s="1"/>
  <c r="N498" i="2" s="1" a="1"/>
  <c r="N498" i="2" s="1"/>
  <c r="K426" i="2"/>
  <c r="L426" i="2" s="1"/>
  <c r="N426" i="2" s="1" a="1"/>
  <c r="N426" i="2" s="1"/>
  <c r="K354" i="2"/>
  <c r="L354" i="2" s="1"/>
  <c r="N354" i="2" s="1" a="1"/>
  <c r="N354" i="2" s="1"/>
  <c r="K318" i="2"/>
  <c r="L318" i="2" s="1"/>
  <c r="N318" i="2" s="1" a="1"/>
  <c r="N318" i="2" s="1"/>
  <c r="K246" i="2"/>
  <c r="L246" i="2" s="1"/>
  <c r="N246" i="2" s="1" a="1"/>
  <c r="N246" i="2" s="1"/>
  <c r="K166" i="2"/>
  <c r="L166" i="2" s="1"/>
  <c r="N166" i="2" s="1" a="1"/>
  <c r="N166" i="2" s="1"/>
  <c r="K135" i="2"/>
  <c r="L135" i="2" s="1"/>
  <c r="N135" i="2" s="1" a="1"/>
  <c r="N135" i="2" s="1"/>
  <c r="L455" i="2"/>
  <c r="N455" i="2" s="1" a="1"/>
  <c r="N455" i="2" s="1"/>
  <c r="L383" i="2"/>
  <c r="N383" i="2" s="1" a="1"/>
  <c r="N383" i="2" s="1"/>
  <c r="L311" i="2"/>
  <c r="N311" i="2" s="1" a="1"/>
  <c r="N311" i="2" s="1"/>
  <c r="L239" i="2"/>
  <c r="N239" i="2" s="1" a="1"/>
  <c r="N239" i="2" s="1"/>
  <c r="L23" i="2"/>
  <c r="N23" i="2" s="1" a="1"/>
  <c r="N23" i="2" s="1"/>
  <c r="K454" i="2"/>
  <c r="L454" i="2" s="1"/>
  <c r="N454" i="2" s="1" a="1"/>
  <c r="N454" i="2" s="1"/>
  <c r="K274" i="2"/>
  <c r="L274" i="2" s="1"/>
  <c r="N274" i="2" s="1" a="1"/>
  <c r="N274" i="2" s="1"/>
  <c r="K130" i="2"/>
  <c r="L130" i="2" s="1"/>
  <c r="N130" i="2" s="1" a="1"/>
  <c r="N13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5E5AB9-2F6B-4CF8-83FA-047042941A29}" keepAlive="1" name="Query - amazon_store_sales_2022 (1)" description="Connection to the 'amazon_store_sales_2022 (1)' query in the workbook." type="5" refreshedVersion="8" background="1" saveData="1">
    <dbPr connection="Provider=Microsoft.Mashup.OleDb.1;Data Source=$Workbook$;Location=&quot;amazon_store_sales_2022 (1)&quot;;Extended Properties=&quot;&quot;" command="SELECT * FROM [amazon_store_sales_2022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<sst xmlns="http://schemas.openxmlformats.org/spreadsheetml/2006/main" count="3734" uniqueCount="54">
  <si>
    <t>OrderID</t>
  </si>
  <si>
    <t>OrderDate</t>
  </si>
  <si>
    <t>ProductID</t>
  </si>
  <si>
    <t>ProductCategory</t>
  </si>
  <si>
    <t>Quantity</t>
  </si>
  <si>
    <t>UnitPrice</t>
  </si>
  <si>
    <t>Discount</t>
  </si>
  <si>
    <t>Region</t>
  </si>
  <si>
    <t>SalesChannel</t>
  </si>
  <si>
    <t>Books</t>
  </si>
  <si>
    <t>Central</t>
  </si>
  <si>
    <t>Mobile App</t>
  </si>
  <si>
    <t>Home &amp; Kitchen</t>
  </si>
  <si>
    <t>North</t>
  </si>
  <si>
    <t>Fashion</t>
  </si>
  <si>
    <t>West</t>
  </si>
  <si>
    <t>Beauty</t>
  </si>
  <si>
    <t>East</t>
  </si>
  <si>
    <t>Online</t>
  </si>
  <si>
    <t>Electronics</t>
  </si>
  <si>
    <t>South</t>
  </si>
  <si>
    <t>Total Price</t>
  </si>
  <si>
    <t xml:space="preserve">Total </t>
  </si>
  <si>
    <t>Total Discount</t>
  </si>
  <si>
    <t>Year</t>
  </si>
  <si>
    <t>Sales Range</t>
  </si>
  <si>
    <t xml:space="preserve">DiscuntRange </t>
  </si>
  <si>
    <t>Row Labels</t>
  </si>
  <si>
    <t>Grand Total</t>
  </si>
  <si>
    <t>Sum of Total Price</t>
  </si>
  <si>
    <t>Count of OrderID</t>
  </si>
  <si>
    <t>2022</t>
  </si>
  <si>
    <t>2023</t>
  </si>
  <si>
    <t>Jan</t>
  </si>
  <si>
    <t>Feb</t>
  </si>
  <si>
    <t>Mar</t>
  </si>
  <si>
    <t>Apr</t>
  </si>
  <si>
    <t>May</t>
  </si>
  <si>
    <t>Jun</t>
  </si>
  <si>
    <t>Jul</t>
  </si>
  <si>
    <t>Aug</t>
  </si>
  <si>
    <t>Sep</t>
  </si>
  <si>
    <t>Oct</t>
  </si>
  <si>
    <t>Nov</t>
  </si>
  <si>
    <t>Dec</t>
  </si>
  <si>
    <t xml:space="preserve"> VeryLow</t>
  </si>
  <si>
    <t>High</t>
  </si>
  <si>
    <t>Low</t>
  </si>
  <si>
    <t>Medium</t>
  </si>
  <si>
    <t>VeryHigh</t>
  </si>
  <si>
    <t>Amazon Store Sales</t>
  </si>
  <si>
    <t>Details for Sum of Total Price - ProductCategory: Beauty</t>
  </si>
  <si>
    <t>Column Labels</t>
  </si>
  <si>
    <t>Sum of 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</si>
</sst>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C00000"/>
      <name val="Aptos Narrow"/>
      <family val="2"/>
      <scheme val="minor"/>
    </font>
    <font>
      <b/>
      <sz val="24"/>
      <color theme="3" tint="0.249977111117893"/>
      <name val="Aptos Display"/>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medium">
        <color theme="0"/>
      </left>
      <right style="medium">
        <color theme="0"/>
      </right>
      <top style="medium">
        <color auto="1"/>
      </top>
      <bottom style="medium">
        <color theme="0"/>
      </bottom>
      <diagonal/>
    </border>
    <border>
      <left style="medium">
        <color theme="0"/>
      </left>
      <right style="medium">
        <color auto="1"/>
      </right>
      <top style="medium">
        <color auto="1"/>
      </top>
      <bottom style="medium">
        <color theme="0"/>
      </bottom>
      <diagonal/>
    </border>
    <border>
      <left style="medium">
        <color auto="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auto="1"/>
      </right>
      <top style="medium">
        <color theme="0"/>
      </top>
      <bottom style="medium">
        <color theme="0"/>
      </bottom>
      <diagonal/>
    </border>
    <border>
      <left style="medium">
        <color auto="1"/>
      </left>
      <right style="medium">
        <color theme="0"/>
      </right>
      <top style="medium">
        <color theme="0"/>
      </top>
      <bottom style="medium">
        <color auto="1"/>
      </bottom>
      <diagonal/>
    </border>
    <border>
      <left style="medium">
        <color theme="0"/>
      </left>
      <right style="medium">
        <color theme="0"/>
      </right>
      <top style="medium">
        <color theme="0"/>
      </top>
      <bottom style="medium">
        <color auto="1"/>
      </bottom>
      <diagonal/>
    </border>
    <border>
      <left style="medium">
        <color theme="0"/>
      </left>
      <right style="medium">
        <color auto="1"/>
      </right>
      <top style="medium">
        <color theme="0"/>
      </top>
      <bottom style="medium">
        <color auto="1"/>
      </bottom>
      <diagonal/>
    </border>
    <border>
      <left style="medium">
        <color auto="1"/>
      </left>
      <right/>
      <top style="medium">
        <color auto="1"/>
      </top>
      <bottom style="medium">
        <color theme="0"/>
      </bottom>
      <diagonal/>
    </border>
    <border>
      <left/>
      <right/>
      <top style="medium">
        <color auto="1"/>
      </top>
      <bottom style="medium">
        <color theme="0"/>
      </bottom>
      <diagonal/>
    </border>
    <border>
      <left/>
      <right style="medium">
        <color theme="0"/>
      </right>
      <top style="medium">
        <color auto="1"/>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4"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14" fontId="0" fillId="34" borderId="11" xfId="0" applyNumberFormat="1" applyFill="1" applyBorder="1"/>
    <xf numFmtId="0" fontId="0" fillId="34" borderId="12" xfId="0" applyFill="1" applyBorder="1"/>
    <xf numFmtId="14" fontId="0" fillId="0" borderId="11" xfId="0" applyNumberFormat="1" applyBorder="1"/>
    <xf numFmtId="0" fontId="0" fillId="0" borderId="12" xfId="0" applyBorder="1"/>
    <xf numFmtId="2" fontId="0" fillId="0" borderId="0" xfId="0" applyNumberFormat="1"/>
    <xf numFmtId="0" fontId="0" fillId="0" borderId="0" xfId="0" pivotButton="1"/>
    <xf numFmtId="0" fontId="0" fillId="0" borderId="0" xfId="0" applyAlignment="1">
      <alignment horizontal="left"/>
    </xf>
    <xf numFmtId="0" fontId="0" fillId="0" borderId="14" xfId="0" applyBorder="1"/>
    <xf numFmtId="0" fontId="0" fillId="0" borderId="15" xfId="0" applyBorder="1"/>
    <xf numFmtId="0" fontId="0" fillId="0" borderId="16" xfId="0" applyBorder="1"/>
    <xf numFmtId="0" fontId="0" fillId="0" borderId="17" xfId="0" applyBorder="1"/>
    <xf numFmtId="0" fontId="19" fillId="35" borderId="14" xfId="0" applyFont="1" applyFill="1" applyBorder="1"/>
    <xf numFmtId="0" fontId="19" fillId="35" borderId="15" xfId="0" applyFont="1" applyFill="1" applyBorder="1"/>
    <xf numFmtId="0" fontId="19" fillId="35" borderId="16" xfId="0" applyFont="1" applyFill="1" applyBorder="1"/>
    <xf numFmtId="0" fontId="19" fillId="35" borderId="0" xfId="0" applyFont="1" applyFill="1"/>
    <xf numFmtId="0" fontId="19" fillId="35" borderId="17" xfId="0" applyFont="1" applyFill="1" applyBorder="1"/>
    <xf numFmtId="0" fontId="19" fillId="35" borderId="13" xfId="0" applyFont="1" applyFill="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16" fillId="0" borderId="0" xfId="0" applyFont="1"/>
    <xf numFmtId="0" fontId="20" fillId="0" borderId="26" xfId="0" applyFont="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Sheet1!$A$17:$A$22</c:f>
              <c:strCache>
                <c:ptCount val="5"/>
                <c:pt idx="0">
                  <c:v>Central</c:v>
                </c:pt>
                <c:pt idx="1">
                  <c:v>East</c:v>
                </c:pt>
                <c:pt idx="2">
                  <c:v>North</c:v>
                </c:pt>
                <c:pt idx="3">
                  <c:v>South</c:v>
                </c:pt>
                <c:pt idx="4">
                  <c:v>West</c:v>
                </c:pt>
              </c:strCache>
            </c:strRef>
          </c:cat>
          <c:val>
            <c:numRef>
              <c:f>Sheet1!$B$17:$B$22</c:f>
              <c:numCache>
                <c:formatCode>General</c:formatCode>
                <c:ptCount val="5"/>
                <c:pt idx="0">
                  <c:v>101</c:v>
                </c:pt>
                <c:pt idx="1">
                  <c:v>99</c:v>
                </c:pt>
                <c:pt idx="2">
                  <c:v>110</c:v>
                </c:pt>
                <c:pt idx="3">
                  <c:v>84</c:v>
                </c:pt>
                <c:pt idx="4">
                  <c:v>106</c:v>
                </c:pt>
              </c:numCache>
            </c:numRef>
          </c:val>
          <c:extLst>
            <c:ext xmlns:c16="http://schemas.microsoft.com/office/drawing/2014/chart" uri="{C3380CC4-5D6E-409C-BE32-E72D297353CC}">
              <c16:uniqueId val="{00000000-BCE1-470A-BE5E-2EA1C8DAE7DD}"/>
            </c:ext>
          </c:extLst>
        </c:ser>
        <c:dLbls>
          <c:dLblPos val="outEnd"/>
          <c:showLegendKey val="0"/>
          <c:showVal val="1"/>
          <c:showCatName val="0"/>
          <c:showSerName val="0"/>
          <c:showPercent val="0"/>
          <c:showBubbleSize val="0"/>
        </c:dLbls>
        <c:gapWidth val="100"/>
        <c:overlap val="-24"/>
        <c:axId val="1018081359"/>
        <c:axId val="1772034319"/>
      </c:barChart>
      <c:catAx>
        <c:axId val="1018081359"/>
        <c:scaling>
          <c:orientation val="minMax"/>
        </c:scaling>
        <c:delete val="1"/>
        <c:axPos val="b"/>
        <c:numFmt formatCode="General" sourceLinked="1"/>
        <c:majorTickMark val="out"/>
        <c:minorTickMark val="none"/>
        <c:tickLblPos val="nextTo"/>
        <c:crossAx val="1772034319"/>
        <c:crosses val="autoZero"/>
        <c:auto val="1"/>
        <c:lblAlgn val="ctr"/>
        <c:lblOffset val="100"/>
        <c:noMultiLvlLbl val="0"/>
      </c:catAx>
      <c:valAx>
        <c:axId val="1772034319"/>
        <c:scaling>
          <c:orientation val="minMax"/>
        </c:scaling>
        <c:delete val="1"/>
        <c:axPos val="l"/>
        <c:numFmt formatCode="General" sourceLinked="1"/>
        <c:majorTickMark val="out"/>
        <c:minorTickMark val="none"/>
        <c:tickLblPos val="nextTo"/>
        <c:crossAx val="10180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[amazon_store_sales.xlsx]Sheet1!PivotTable2</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200" b="1" i="0" u="none" strike="noStrike" cap="all" baseline="0"/>
              <a:t>Regional Distribution of Customers (%)</a:t>
            </a:r>
            <a:endParaRPr lang="en-US" sz="1200" b="1"/>
          </a:p>
        </c:rich>
      </c:tx>
      <c:layout>
        <c:manualLayout>
          <c:xMode val="edge"/>
          <c:yMode val="edge"/>
          <c:x val="2.5817324981616601E-3"/>
          <c:y val="0.1007791451565243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322195921828791"/>
          <c:y val="0.20927413046879073"/>
          <c:w val="0.46001213038554223"/>
          <c:h val="0.74485407867062969"/>
        </c:manualLayout>
      </c:layout>
      <c:pieChart>
        <c:varyColors val="1"/>
        <c:ser>
          <c:idx val="0"/>
          <c:order val="0"/>
          <c:tx>
            <c:strRef>
              <c:f>Sheet1!$B$16</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DA1-4AF9-B1B1-FCEC62DA548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DA1-4AF9-B1B1-FCEC62DA548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DA1-4AF9-B1B1-FCEC62DA548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DA1-4AF9-B1B1-FCEC62DA548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DA1-4AF9-B1B1-FCEC62DA5482}"/>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DA1-4AF9-B1B1-FCEC62DA5482}"/>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DA1-4AF9-B1B1-FCEC62DA5482}"/>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DA1-4AF9-B1B1-FCEC62DA5482}"/>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EDA1-4AF9-B1B1-FCEC62DA5482}"/>
                </c:ext>
              </c:extLst>
            </c:dLbl>
            <c:dLbl>
              <c:idx val="4"/>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EDA1-4AF9-B1B1-FCEC62DA5482}"/>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Sheet1!$A$17:$A$22</c:f>
              <c:strCache>
                <c:ptCount val="5"/>
                <c:pt idx="0">
                  <c:v>Central</c:v>
                </c:pt>
                <c:pt idx="1">
                  <c:v>East</c:v>
                </c:pt>
                <c:pt idx="2">
                  <c:v>North</c:v>
                </c:pt>
                <c:pt idx="3">
                  <c:v>South</c:v>
                </c:pt>
                <c:pt idx="4">
                  <c:v>West</c:v>
                </c:pt>
              </c:strCache>
            </c:strRef>
          </c:cat>
          <c:val>
            <c:numRef>
              <c:f>Sheet1!$B$17:$B$22</c:f>
              <c:numCache>
                <c:formatCode>General</c:formatCode>
                <c:ptCount val="5"/>
                <c:pt idx="0">
                  <c:v>101</c:v>
                </c:pt>
                <c:pt idx="1">
                  <c:v>99</c:v>
                </c:pt>
                <c:pt idx="2">
                  <c:v>110</c:v>
                </c:pt>
                <c:pt idx="3">
                  <c:v>84</c:v>
                </c:pt>
                <c:pt idx="4">
                  <c:v>106</c:v>
                </c:pt>
              </c:numCache>
            </c:numRef>
          </c:val>
          <c:extLst>
            <c:ext xmlns:c16="http://schemas.microsoft.com/office/drawing/2014/chart" uri="{C3380CC4-5D6E-409C-BE32-E72D297353CC}">
              <c16:uniqueId val="{0000000A-EDA1-4AF9-B1B1-FCEC62DA5482}"/>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Category by Sales </a:t>
            </a:r>
            <a:endParaRPr lang="en-US"/>
          </a:p>
        </c:rich>
      </c:tx>
      <c:layout>
        <c:manualLayout>
          <c:xMode val="edge"/>
          <c:yMode val="edge"/>
          <c:x val="0.2942802841298624"/>
          <c:y val="3.99368493367859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3008277811428"/>
          <c:y val="0.15356923469672676"/>
          <c:w val="0.84976478901675756"/>
          <c:h val="0.57823875738936892"/>
        </c:manualLayout>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Sheet1!$A$4:$A$9</c:f>
              <c:strCache>
                <c:ptCount val="5"/>
                <c:pt idx="0">
                  <c:v>Beauty</c:v>
                </c:pt>
                <c:pt idx="1">
                  <c:v>Books</c:v>
                </c:pt>
                <c:pt idx="2">
                  <c:v>Electronics</c:v>
                </c:pt>
                <c:pt idx="3">
                  <c:v>Fashion</c:v>
                </c:pt>
                <c:pt idx="4">
                  <c:v>Home &amp; Kitchen</c:v>
                </c:pt>
              </c:strCache>
            </c:strRef>
          </c:cat>
          <c:val>
            <c:numRef>
              <c:f>Sheet1!$B$4:$B$9</c:f>
              <c:numCache>
                <c:formatCode>0.00</c:formatCode>
                <c:ptCount val="5"/>
                <c:pt idx="0">
                  <c:v>124454.44960000001</c:v>
                </c:pt>
                <c:pt idx="1">
                  <c:v>108456.07240000002</c:v>
                </c:pt>
                <c:pt idx="2">
                  <c:v>93628.553200000009</c:v>
                </c:pt>
                <c:pt idx="3">
                  <c:v>101701.31869999997</c:v>
                </c:pt>
                <c:pt idx="4">
                  <c:v>112189.22469999999</c:v>
                </c:pt>
              </c:numCache>
            </c:numRef>
          </c:val>
          <c:extLst>
            <c:ext xmlns:c16="http://schemas.microsoft.com/office/drawing/2014/chart" uri="{C3380CC4-5D6E-409C-BE32-E72D297353CC}">
              <c16:uniqueId val="{00000000-CB06-4E56-A43C-177A2B83C5EC}"/>
            </c:ext>
          </c:extLst>
        </c:ser>
        <c:dLbls>
          <c:showLegendKey val="0"/>
          <c:showVal val="0"/>
          <c:showCatName val="0"/>
          <c:showSerName val="0"/>
          <c:showPercent val="0"/>
          <c:showBubbleSize val="0"/>
        </c:dLbls>
        <c:gapWidth val="100"/>
        <c:overlap val="-24"/>
        <c:axId val="1007588175"/>
        <c:axId val="1596397455"/>
      </c:barChart>
      <c:catAx>
        <c:axId val="1007588175"/>
        <c:scaling>
          <c:orientation val="minMax"/>
        </c:scaling>
        <c:delete val="1"/>
        <c:axPos val="b"/>
        <c:numFmt formatCode="General" sourceLinked="1"/>
        <c:majorTickMark val="none"/>
        <c:minorTickMark val="none"/>
        <c:tickLblPos val="nextTo"/>
        <c:crossAx val="1596397455"/>
        <c:crosses val="autoZero"/>
        <c:auto val="1"/>
        <c:lblAlgn val="ctr"/>
        <c:lblOffset val="100"/>
        <c:noMultiLvlLbl val="0"/>
      </c:catAx>
      <c:valAx>
        <c:axId val="1596397455"/>
        <c:scaling>
          <c:orientation val="minMax"/>
        </c:scaling>
        <c:delete val="1"/>
        <c:axPos val="l"/>
        <c:numFmt formatCode="0.00" sourceLinked="1"/>
        <c:majorTickMark val="none"/>
        <c:minorTickMark val="none"/>
        <c:tickLblPos val="nextTo"/>
        <c:crossAx val="1007588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Annual Sales Contribution (%)</a:t>
            </a:r>
            <a:endParaRPr lang="en-US"/>
          </a:p>
        </c:rich>
      </c:tx>
      <c:layout>
        <c:manualLayout>
          <c:xMode val="edge"/>
          <c:yMode val="edge"/>
          <c:x val="6.7542016806722685E-2"/>
          <c:y val="0.1194705009699874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9310830631465184"/>
          <c:y val="0.25872075773137054"/>
          <c:w val="0.35818114647433774"/>
          <c:h val="0.74127924226862951"/>
        </c:manualLayout>
      </c:layout>
      <c:pieChart>
        <c:varyColors val="1"/>
        <c:ser>
          <c:idx val="0"/>
          <c:order val="0"/>
          <c:tx>
            <c:strRef>
              <c:f>Sheet1!$B$46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ABD-450A-8F32-32E242AD59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ABD-450A-8F32-32E242AD59E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Sheet1!$A$47:$A$49</c:f>
              <c:strCache>
                <c:ptCount val="2"/>
                <c:pt idx="0">
                  <c:v>2022</c:v>
                </c:pt>
                <c:pt idx="1">
                  <c:v>2023</c:v>
                </c:pt>
              </c:strCache>
            </c:strRef>
          </c:cat>
          <c:val>
            <c:numRef>
              <c:f>Sheet1!$B$47:$B$49</c:f>
              <c:numCache>
                <c:formatCode>0.00</c:formatCode>
                <c:ptCount val="2"/>
                <c:pt idx="0">
                  <c:v>395418.91149999993</c:v>
                </c:pt>
                <c:pt idx="1">
                  <c:v>145010.70710000003</c:v>
                </c:pt>
              </c:numCache>
            </c:numRef>
          </c:val>
          <c:extLst>
            <c:ext xmlns:c16="http://schemas.microsoft.com/office/drawing/2014/chart" uri="{C3380CC4-5D6E-409C-BE32-E72D297353CC}">
              <c16:uniqueId val="{00000004-2ABD-450A-8F32-32E242AD59E8}"/>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Trend Over Months</a:t>
            </a:r>
            <a:r>
              <a:rPr lang="en-US" b="1" baseline="0"/>
              <a:t> </a:t>
            </a:r>
            <a:endParaRPr lang="en-US" b="1"/>
          </a:p>
        </c:rich>
      </c:tx>
      <c:layout>
        <c:manualLayout>
          <c:xMode val="edge"/>
          <c:yMode val="edge"/>
          <c:x val="0.34282663819564929"/>
          <c:y val="4.4612037131722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1426071741032"/>
          <c:y val="0.21613906493395643"/>
          <c:w val="0.83314129483814525"/>
          <c:h val="0.56080276550797004"/>
        </c:manualLayout>
      </c:layout>
      <c:lineChart>
        <c:grouping val="standard"/>
        <c:varyColors val="0"/>
        <c:ser>
          <c:idx val="0"/>
          <c:order val="0"/>
          <c:tx>
            <c:strRef>
              <c:f>Sheet1!$B$32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Sheet1!$A$33:$A$45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Sheet1!$B$33:$B$45</c:f>
              <c:numCache>
                <c:formatCode>0.00</c:formatCode>
                <c:ptCount val="12"/>
                <c:pt idx="0">
                  <c:v>74477.156900000002</c:v>
                </c:pt>
                <c:pt idx="1">
                  <c:v>49684.8033</c:v>
                </c:pt>
                <c:pt idx="2">
                  <c:v>74526.039500000014</c:v>
                </c:pt>
                <c:pt idx="3">
                  <c:v>67092.231700000018</c:v>
                </c:pt>
                <c:pt idx="4">
                  <c:v>55618.138800000001</c:v>
                </c:pt>
                <c:pt idx="5">
                  <c:v>30396.041400000002</c:v>
                </c:pt>
                <c:pt idx="6">
                  <c:v>29621.342700000001</c:v>
                </c:pt>
                <c:pt idx="7">
                  <c:v>29206.604799999994</c:v>
                </c:pt>
                <c:pt idx="8">
                  <c:v>30729.924300000002</c:v>
                </c:pt>
                <c:pt idx="9">
                  <c:v>29089.718099999998</c:v>
                </c:pt>
                <c:pt idx="10">
                  <c:v>34447.747200000005</c:v>
                </c:pt>
                <c:pt idx="11">
                  <c:v>35539.869899999998</c:v>
                </c:pt>
              </c:numCache>
            </c:numRef>
          </c:val>
          <c:smooth val="0"/>
          <c:extLst>
            <c:ext xmlns:c16="http://schemas.microsoft.com/office/drawing/2014/chart" uri="{C3380CC4-5D6E-409C-BE32-E72D297353CC}">
              <c16:uniqueId val="{00000001-AB86-480D-85ED-8D188D9116BF}"/>
            </c:ext>
          </c:extLst>
        </c:ser>
        <c:dLbls>
          <c:showLegendKey val="0"/>
          <c:showVal val="0"/>
          <c:showCatName val="0"/>
          <c:showSerName val="0"/>
          <c:showPercent val="0"/>
          <c:showBubbleSize val="0"/>
        </c:dLbls>
        <c:smooth val="0"/>
        <c:axId val="942575535"/>
        <c:axId val="1596365295"/>
      </c:lineChart>
      <c:catAx>
        <c:axId val="94257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65295"/>
        <c:crosses val="autoZero"/>
        <c:auto val="1"/>
        <c:lblAlgn val="ctr"/>
        <c:lblOffset val="100"/>
        <c:noMultiLvlLbl val="0"/>
      </c:catAx>
      <c:valAx>
        <c:axId val="1596365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57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[amazon_store_sales.xlsx]Sheet1!PivotTable6</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Sales % by Channel</a:t>
            </a:r>
            <a:endParaRPr lang="en-US"/>
          </a:p>
        </c:rich>
      </c:tx>
      <c:layout>
        <c:manualLayout>
          <c:xMode val="edge"/>
          <c:yMode val="edge"/>
          <c:x val="0.15614325825550873"/>
          <c:y val="0.1109196517688809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934688396508573"/>
          <c:y val="0.22895806401065535"/>
          <c:w val="0.44673289385338466"/>
          <c:h val="0.71677292670505754"/>
        </c:manualLayout>
      </c:layout>
      <c:pieChart>
        <c:varyColors val="1"/>
        <c:ser>
          <c:idx val="0"/>
          <c:order val="0"/>
          <c:tx>
            <c:strRef>
              <c:f>Sheet1!$B$76</c:f>
              <c:strCache>
                <c:ptCount val="1"/>
                <c:pt idx="0">
                  <c:v>Sum of Total Price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26-4835-994E-4596F708B11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26-4835-994E-4596F708B1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Sheet1!$A$77:$A$79</c:f>
              <c:strCache>
                <c:ptCount val="2"/>
                <c:pt idx="0">
                  <c:v>Mobile App</c:v>
                </c:pt>
                <c:pt idx="1">
                  <c:v>Online</c:v>
                </c:pt>
              </c:strCache>
            </c:strRef>
          </c:cat>
          <c:val>
            <c:numRef>
              <c:f>Sheet1!$B$77:$B$79</c:f>
              <c:numCache>
                <c:formatCode>0.00</c:formatCode>
                <c:ptCount val="2"/>
                <c:pt idx="0">
                  <c:v>242770.14090000006</c:v>
                </c:pt>
                <c:pt idx="1">
                  <c:v>297659.47770000022</c:v>
                </c:pt>
              </c:numCache>
            </c:numRef>
          </c:val>
          <c:extLst>
            <c:ext xmlns:c16="http://schemas.microsoft.com/office/drawing/2014/chart" uri="{C3380CC4-5D6E-409C-BE32-E72D297353CC}">
              <c16:uniqueId val="{00000004-ED26-4835-994E-4596F708B11D}"/>
            </c:ext>
          </c:extLst>
        </c:ser>
        <c:ser>
          <c:idx val="1"/>
          <c:order val="1"/>
          <c:tx>
            <c:strRef>
              <c:f>Sheet1!$C$76</c:f>
              <c:strCache>
                <c:ptCount val="1"/>
                <c:pt idx="0">
                  <c:v>Count of OrderID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ED26-4835-994E-4596F708B11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ED26-4835-994E-4596F708B1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Sheet1!$A$77:$A$79</c:f>
              <c:strCache>
                <c:ptCount val="2"/>
                <c:pt idx="0">
                  <c:v>Mobile App</c:v>
                </c:pt>
                <c:pt idx="1">
                  <c:v>Online</c:v>
                </c:pt>
              </c:strCache>
            </c:strRef>
          </c:cat>
          <c:val>
            <c:numRef>
              <c:f>Sheet1!$C$77:$C$79</c:f>
              <c:numCache>
                <c:formatCode>General</c:formatCode>
                <c:ptCount val="2"/>
                <c:pt idx="0">
                  <c:v>235</c:v>
                </c:pt>
                <c:pt idx="1">
                  <c:v>265</c:v>
                </c:pt>
              </c:numCache>
            </c:numRef>
          </c:val>
          <c:extLst>
            <c:ext xmlns:c16="http://schemas.microsoft.com/office/drawing/2014/chart" uri="{C3380CC4-5D6E-409C-BE32-E72D297353CC}">
              <c16:uniqueId val="{00000009-ED26-4835-994E-4596F708B11D}"/>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Amount by Sales Rang</a:t>
            </a:r>
            <a:endParaRPr lang="en-IN" b="1"/>
          </a:p>
        </c:rich>
      </c:tx>
      <c:layout>
        <c:manualLayout>
          <c:xMode val="edge"/>
          <c:yMode val="edge"/>
          <c:x val="0.25594135802469137"/>
          <c:y val="1.4253987482333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7464679472493"/>
          <c:y val="4.6373107207752881E-2"/>
          <c:w val="0.89112542872325007"/>
          <c:h val="0.47428427215828789"/>
        </c:manualLayout>
      </c:layout>
      <c:barChart>
        <c:barDir val="col"/>
        <c:grouping val="clustered"/>
        <c:varyColors val="0"/>
        <c:ser>
          <c:idx val="0"/>
          <c:order val="0"/>
          <c:tx>
            <c:strRef>
              <c:f>Sheet1!$B$60</c:f>
              <c:strCache>
                <c:ptCount val="1"/>
                <c:pt idx="0">
                  <c:v>Total</c:v>
                </c:pt>
              </c:strCache>
            </c:strRef>
          </c:tx>
          <c:spPr>
            <a:solidFill>
              <a:schemeClr val="accent1"/>
            </a:solidFill>
            <a:ln>
              <a:noFill/>
            </a:ln>
            <a:effectLst/>
          </c:spPr>
          <c:invertIfNegative val="0"/>
          <c:cat>
            <c:strRef>
              <c:f>Sheet1!$A$61:$A$66</c:f>
              <c:strCache>
                <c:ptCount val="5"/>
                <c:pt idx="0">
                  <c:v> VeryLow</c:v>
                </c:pt>
                <c:pt idx="1">
                  <c:v>High</c:v>
                </c:pt>
                <c:pt idx="2">
                  <c:v>Low</c:v>
                </c:pt>
                <c:pt idx="3">
                  <c:v>Medium</c:v>
                </c:pt>
                <c:pt idx="4">
                  <c:v>VeryHigh</c:v>
                </c:pt>
              </c:strCache>
            </c:strRef>
          </c:cat>
          <c:val>
            <c:numRef>
              <c:f>Sheet1!$B$61:$B$66</c:f>
              <c:numCache>
                <c:formatCode>0.00</c:formatCode>
                <c:ptCount val="5"/>
                <c:pt idx="0">
                  <c:v>42913.319899999988</c:v>
                </c:pt>
                <c:pt idx="1">
                  <c:v>148508.11160000003</c:v>
                </c:pt>
                <c:pt idx="2">
                  <c:v>79832.210400000011</c:v>
                </c:pt>
                <c:pt idx="3">
                  <c:v>208823.24040000004</c:v>
                </c:pt>
                <c:pt idx="4">
                  <c:v>60352.736299999997</c:v>
                </c:pt>
              </c:numCache>
            </c:numRef>
          </c:val>
          <c:extLst>
            <c:ext xmlns:c16="http://schemas.microsoft.com/office/drawing/2014/chart" uri="{C3380CC4-5D6E-409C-BE32-E72D297353CC}">
              <c16:uniqueId val="{00000000-C5E8-4E29-8CDE-47AC0676DE52}"/>
            </c:ext>
          </c:extLst>
        </c:ser>
        <c:dLbls>
          <c:showLegendKey val="0"/>
          <c:showVal val="0"/>
          <c:showCatName val="0"/>
          <c:showSerName val="0"/>
          <c:showPercent val="0"/>
          <c:showBubbleSize val="0"/>
        </c:dLbls>
        <c:gapWidth val="219"/>
        <c:overlap val="-27"/>
        <c:axId val="1018082751"/>
        <c:axId val="1772024719"/>
      </c:barChart>
      <c:catAx>
        <c:axId val="1018082751"/>
        <c:scaling>
          <c:orientation val="minMax"/>
        </c:scaling>
        <c:delete val="1"/>
        <c:axPos val="b"/>
        <c:numFmt formatCode="General" sourceLinked="1"/>
        <c:majorTickMark val="none"/>
        <c:minorTickMark val="none"/>
        <c:tickLblPos val="nextTo"/>
        <c:crossAx val="1772024719"/>
        <c:crosses val="autoZero"/>
        <c:auto val="1"/>
        <c:lblAlgn val="ctr"/>
        <c:lblOffset val="100"/>
        <c:noMultiLvlLbl val="0"/>
      </c:catAx>
      <c:valAx>
        <c:axId val="1772024719"/>
        <c:scaling>
          <c:orientation val="minMax"/>
        </c:scaling>
        <c:delete val="1"/>
        <c:axPos val="l"/>
        <c:numFmt formatCode="0.00" sourceLinked="1"/>
        <c:majorTickMark val="none"/>
        <c:minorTickMark val="none"/>
        <c:tickLblPos val="nextTo"/>
        <c:crossAx val="1018082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[amazon_store_sales.xlsx]Sheet4!PivotTable11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none"/>
              <a:t>Sales</a:t>
            </a:r>
            <a:r>
              <a:rPr lang="en-IN" sz="1600" b="1" u="none" baseline="0"/>
              <a:t> by Region &amp; Product Category</a:t>
            </a:r>
            <a:r>
              <a:rPr lang="en-IN" sz="1600" b="1" u="none"/>
              <a:t> </a:t>
            </a:r>
          </a:p>
        </c:rich>
      </c:tx>
      <c:layout>
        <c:manualLayout>
          <c:xMode val="edge"/>
          <c:yMode val="edge"/>
          <c:x val="0.27272883119339814"/>
          <c:y val="3.47383047707272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2355111016528"/>
          <c:y val="0.11082677165354329"/>
          <c:w val="0.75344892136230723"/>
          <c:h val="0.39728023636082915"/>
        </c:manualLayout>
      </c:layout>
      <c:barChart>
        <c:barDir val="col"/>
        <c:grouping val="stacked"/>
        <c:varyColors val="0"/>
        <c:ser>
          <c:idx val="0"/>
          <c:order val="0"/>
          <c:tx>
            <c:strRef>
              <c:f>Sheet4!$B$3:$B$4</c:f>
              <c:strCache>
                <c:ptCount val="1"/>
                <c:pt idx="0">
                  <c:v>Beauty</c:v>
                </c:pt>
              </c:strCache>
            </c:strRef>
          </c:tx>
          <c:spPr>
            <a:solidFill>
              <a:schemeClr val="accent1"/>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Sheet4!$B$5:$B$10</c:f>
              <c:numCache>
                <c:formatCode>0.00</c:formatCode>
                <c:ptCount val="5"/>
                <c:pt idx="0">
                  <c:v>29431.727099999996</c:v>
                </c:pt>
                <c:pt idx="1">
                  <c:v>31667.108799999998</c:v>
                </c:pt>
                <c:pt idx="2">
                  <c:v>20602.208999999999</c:v>
                </c:pt>
                <c:pt idx="3">
                  <c:v>8866.9151000000002</c:v>
                </c:pt>
                <c:pt idx="4">
                  <c:v>33886.489599999994</c:v>
                </c:pt>
              </c:numCache>
            </c:numRef>
          </c:val>
          <c:extLst>
            <c:ext xmlns:c16="http://schemas.microsoft.com/office/drawing/2014/chart" uri="{C3380CC4-5D6E-409C-BE32-E72D297353CC}">
              <c16:uniqueId val="{00000000-68C5-41F8-8EB6-00D9DBF9D5DD}"/>
            </c:ext>
          </c:extLst>
        </c:ser>
        <c:ser>
          <c:idx val="1"/>
          <c:order val="1"/>
          <c:tx>
            <c:strRef>
              <c:f>Sheet4!$C$3:$C$4</c:f>
              <c:strCache>
                <c:ptCount val="1"/>
                <c:pt idx="0">
                  <c:v>Books</c:v>
                </c:pt>
              </c:strCache>
            </c:strRef>
          </c:tx>
          <c:spPr>
            <a:solidFill>
              <a:schemeClr val="accent2"/>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Sheet4!$C$5:$C$10</c:f>
              <c:numCache>
                <c:formatCode>0.00</c:formatCode>
                <c:ptCount val="5"/>
                <c:pt idx="0">
                  <c:v>18088.379499999999</c:v>
                </c:pt>
                <c:pt idx="1">
                  <c:v>28108.097800000003</c:v>
                </c:pt>
                <c:pt idx="2">
                  <c:v>26860.259300000002</c:v>
                </c:pt>
                <c:pt idx="3">
                  <c:v>18228.211499999998</c:v>
                </c:pt>
                <c:pt idx="4">
                  <c:v>17171.124299999996</c:v>
                </c:pt>
              </c:numCache>
            </c:numRef>
          </c:val>
          <c:extLst>
            <c:ext xmlns:c16="http://schemas.microsoft.com/office/drawing/2014/chart" uri="{C3380CC4-5D6E-409C-BE32-E72D297353CC}">
              <c16:uniqueId val="{00000001-68C5-41F8-8EB6-00D9DBF9D5DD}"/>
            </c:ext>
          </c:extLst>
        </c:ser>
        <c:ser>
          <c:idx val="2"/>
          <c:order val="2"/>
          <c:tx>
            <c:strRef>
              <c:f>Sheet4!$D$3:$D$4</c:f>
              <c:strCache>
                <c:ptCount val="1"/>
                <c:pt idx="0">
                  <c:v>Electronics</c:v>
                </c:pt>
              </c:strCache>
            </c:strRef>
          </c:tx>
          <c:spPr>
            <a:solidFill>
              <a:schemeClr val="accent3"/>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Sheet4!$D$5:$D$10</c:f>
              <c:numCache>
                <c:formatCode>0.00</c:formatCode>
                <c:ptCount val="5"/>
                <c:pt idx="0">
                  <c:v>21565.478999999999</c:v>
                </c:pt>
                <c:pt idx="1">
                  <c:v>11807.064</c:v>
                </c:pt>
                <c:pt idx="2">
                  <c:v>17050.7716</c:v>
                </c:pt>
                <c:pt idx="3">
                  <c:v>22999.466600000003</c:v>
                </c:pt>
                <c:pt idx="4">
                  <c:v>20205.771999999997</c:v>
                </c:pt>
              </c:numCache>
            </c:numRef>
          </c:val>
          <c:extLst>
            <c:ext xmlns:c16="http://schemas.microsoft.com/office/drawing/2014/chart" uri="{C3380CC4-5D6E-409C-BE32-E72D297353CC}">
              <c16:uniqueId val="{00000007-68C5-41F8-8EB6-00D9DBF9D5DD}"/>
            </c:ext>
          </c:extLst>
        </c:ser>
        <c:ser>
          <c:idx val="3"/>
          <c:order val="3"/>
          <c:tx>
            <c:strRef>
              <c:f>Sheet4!$E$3:$E$4</c:f>
              <c:strCache>
                <c:ptCount val="1"/>
                <c:pt idx="0">
                  <c:v>Fashion</c:v>
                </c:pt>
              </c:strCache>
            </c:strRef>
          </c:tx>
          <c:spPr>
            <a:solidFill>
              <a:schemeClr val="accent4"/>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Sheet4!$E$5:$E$10</c:f>
              <c:numCache>
                <c:formatCode>0.00</c:formatCode>
                <c:ptCount val="5"/>
                <c:pt idx="0">
                  <c:v>19435.602699999999</c:v>
                </c:pt>
                <c:pt idx="1">
                  <c:v>22376.254000000001</c:v>
                </c:pt>
                <c:pt idx="2">
                  <c:v>24103.667599999993</c:v>
                </c:pt>
                <c:pt idx="3">
                  <c:v>15768.5484</c:v>
                </c:pt>
                <c:pt idx="4">
                  <c:v>20017.246000000003</c:v>
                </c:pt>
              </c:numCache>
            </c:numRef>
          </c:val>
          <c:extLst>
            <c:ext xmlns:c16="http://schemas.microsoft.com/office/drawing/2014/chart" uri="{C3380CC4-5D6E-409C-BE32-E72D297353CC}">
              <c16:uniqueId val="{00000008-68C5-41F8-8EB6-00D9DBF9D5DD}"/>
            </c:ext>
          </c:extLst>
        </c:ser>
        <c:ser>
          <c:idx val="4"/>
          <c:order val="4"/>
          <c:tx>
            <c:strRef>
              <c:f>Sheet4!$F$3:$F$4</c:f>
              <c:strCache>
                <c:ptCount val="1"/>
                <c:pt idx="0">
                  <c:v>Home &amp; Kitchen</c:v>
                </c:pt>
              </c:strCache>
            </c:strRef>
          </c:tx>
          <c:spPr>
            <a:solidFill>
              <a:schemeClr val="accent5"/>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Sheet4!$F$5:$F$10</c:f>
              <c:numCache>
                <c:formatCode>0.00</c:formatCode>
                <c:ptCount val="5"/>
                <c:pt idx="0">
                  <c:v>26940.434200000003</c:v>
                </c:pt>
                <c:pt idx="1">
                  <c:v>15742.477999999999</c:v>
                </c:pt>
                <c:pt idx="2">
                  <c:v>20739.068899999995</c:v>
                </c:pt>
                <c:pt idx="3">
                  <c:v>19213.815300000002</c:v>
                </c:pt>
                <c:pt idx="4">
                  <c:v>29553.428300000007</c:v>
                </c:pt>
              </c:numCache>
            </c:numRef>
          </c:val>
          <c:extLst>
            <c:ext xmlns:c16="http://schemas.microsoft.com/office/drawing/2014/chart" uri="{C3380CC4-5D6E-409C-BE32-E72D297353CC}">
              <c16:uniqueId val="{00000009-68C5-41F8-8EB6-00D9DBF9D5DD}"/>
            </c:ext>
          </c:extLst>
        </c:ser>
        <c:dLbls>
          <c:dLblPos val="ctr"/>
          <c:showLegendKey val="0"/>
          <c:showVal val="0"/>
          <c:showCatName val="0"/>
          <c:showSerName val="0"/>
          <c:showPercent val="0"/>
          <c:showBubbleSize val="0"/>
        </c:dLbls>
        <c:gapWidth val="182"/>
        <c:overlap val="100"/>
        <c:axId val="1066160799"/>
        <c:axId val="1087708079"/>
      </c:barChart>
      <c:catAx>
        <c:axId val="10661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08079"/>
        <c:crosses val="autoZero"/>
        <c:auto val="1"/>
        <c:lblAlgn val="ctr"/>
        <c:lblOffset val="100"/>
        <c:noMultiLvlLbl val="0"/>
      </c:catAx>
      <c:valAx>
        <c:axId val="1087708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60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[amazon_store_sales.xlsx]Sheet5!PivotTable3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Performance by Discount Range </a:t>
            </a:r>
            <a:endParaRPr lang="en-IN" b="1"/>
          </a:p>
        </c:rich>
      </c:tx>
      <c:layout>
        <c:manualLayout>
          <c:xMode val="edge"/>
          <c:yMode val="edge"/>
          <c:x val="0.30048158394615088"/>
          <c:y val="9.5152579611759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860151490072752"/>
          <c:y val="0.20097750939027359"/>
          <c:w val="0.74139848509927253"/>
          <c:h val="0.42096284017129437"/>
        </c:manualLayout>
      </c:layout>
      <c:bar3DChart>
        <c:barDir val="col"/>
        <c:grouping val="clustered"/>
        <c:varyColors val="0"/>
        <c:ser>
          <c:idx val="0"/>
          <c:order val="0"/>
          <c:tx>
            <c:strRef>
              <c:f>Sheet5!$B$3</c:f>
              <c:strCache>
                <c:ptCount val="1"/>
                <c:pt idx="0">
                  <c:v>Sum of Total Discount</c:v>
                </c:pt>
              </c:strCache>
            </c:strRef>
          </c:tx>
          <c:spPr>
            <a:solidFill>
              <a:schemeClr val="accent1"/>
            </a:solidFill>
            <a:ln>
              <a:noFill/>
            </a:ln>
            <a:effectLst/>
            <a:sp3d/>
          </c:spPr>
          <c:invertIfNegative val="0"/>
          <c:cat>
            <c:strRef>
              <c:f>Sheet5!$A$4:$A$7</c:f>
              <c:strCache>
                <c:ptCount val="3"/>
                <c:pt idx="0">
                  <c:v>High</c:v>
                </c:pt>
                <c:pt idx="1">
                  <c:v>Low</c:v>
                </c:pt>
                <c:pt idx="2">
                  <c:v>Medium</c:v>
                </c:pt>
              </c:strCache>
            </c:strRef>
          </c:cat>
          <c:val>
            <c:numRef>
              <c:f>Sheet5!$B$4:$B$7</c:f>
              <c:numCache>
                <c:formatCode>General</c:formatCode>
                <c:ptCount val="3"/>
                <c:pt idx="0">
                  <c:v>54157.927099999994</c:v>
                </c:pt>
                <c:pt idx="1">
                  <c:v>8919.6687999999976</c:v>
                </c:pt>
                <c:pt idx="2">
                  <c:v>31208.515499999994</c:v>
                </c:pt>
              </c:numCache>
            </c:numRef>
          </c:val>
          <c:extLst>
            <c:ext xmlns:c16="http://schemas.microsoft.com/office/drawing/2014/chart" uri="{C3380CC4-5D6E-409C-BE32-E72D297353CC}">
              <c16:uniqueId val="{00000000-52C4-4E02-B607-18783B7307E6}"/>
            </c:ext>
          </c:extLst>
        </c:ser>
        <c:ser>
          <c:idx val="1"/>
          <c:order val="1"/>
          <c:tx>
            <c:strRef>
              <c:f>Sheet5!$C$3</c:f>
              <c:strCache>
                <c:ptCount val="1"/>
                <c:pt idx="0">
                  <c:v>Count of OrderID</c:v>
                </c:pt>
              </c:strCache>
            </c:strRef>
          </c:tx>
          <c:spPr>
            <a:solidFill>
              <a:schemeClr val="accent2"/>
            </a:solidFill>
            <a:ln>
              <a:noFill/>
            </a:ln>
            <a:effectLst/>
            <a:sp3d/>
          </c:spPr>
          <c:invertIfNegative val="0"/>
          <c:cat>
            <c:strRef>
              <c:f>Sheet5!$A$4:$A$7</c:f>
              <c:strCache>
                <c:ptCount val="3"/>
                <c:pt idx="0">
                  <c:v>High</c:v>
                </c:pt>
                <c:pt idx="1">
                  <c:v>Low</c:v>
                </c:pt>
                <c:pt idx="2">
                  <c:v>Medium</c:v>
                </c:pt>
              </c:strCache>
            </c:strRef>
          </c:cat>
          <c:val>
            <c:numRef>
              <c:f>Sheet5!$C$4:$C$7</c:f>
              <c:numCache>
                <c:formatCode>General</c:formatCode>
                <c:ptCount val="3"/>
                <c:pt idx="0">
                  <c:v>172</c:v>
                </c:pt>
                <c:pt idx="1">
                  <c:v>160</c:v>
                </c:pt>
                <c:pt idx="2">
                  <c:v>168</c:v>
                </c:pt>
              </c:numCache>
            </c:numRef>
          </c:val>
          <c:extLst>
            <c:ext xmlns:c16="http://schemas.microsoft.com/office/drawing/2014/chart" uri="{C3380CC4-5D6E-409C-BE32-E72D297353CC}">
              <c16:uniqueId val="{00000001-52C4-4E02-B607-18783B7307E6}"/>
            </c:ext>
          </c:extLst>
        </c:ser>
        <c:ser>
          <c:idx val="2"/>
          <c:order val="2"/>
          <c:tx>
            <c:strRef>
              <c:f>Sheet5!$D$3</c:f>
              <c:strCache>
                <c:ptCount val="1"/>
                <c:pt idx="0">
                  <c:v>Sum of Total Price</c:v>
                </c:pt>
              </c:strCache>
            </c:strRef>
          </c:tx>
          <c:spPr>
            <a:solidFill>
              <a:schemeClr val="accent3"/>
            </a:solidFill>
            <a:ln>
              <a:noFill/>
            </a:ln>
            <a:effectLst/>
            <a:sp3d/>
          </c:spPr>
          <c:invertIfNegative val="0"/>
          <c:cat>
            <c:strRef>
              <c:f>Sheet5!$A$4:$A$7</c:f>
              <c:strCache>
                <c:ptCount val="3"/>
                <c:pt idx="0">
                  <c:v>High</c:v>
                </c:pt>
                <c:pt idx="1">
                  <c:v>Low</c:v>
                </c:pt>
                <c:pt idx="2">
                  <c:v>Medium</c:v>
                </c:pt>
              </c:strCache>
            </c:strRef>
          </c:cat>
          <c:val>
            <c:numRef>
              <c:f>Sheet5!$D$4:$D$7</c:f>
              <c:numCache>
                <c:formatCode>0.00</c:formatCode>
                <c:ptCount val="3"/>
                <c:pt idx="0">
                  <c:v>166407.78289999987</c:v>
                </c:pt>
                <c:pt idx="1">
                  <c:v>185429.82120000006</c:v>
                </c:pt>
                <c:pt idx="2">
                  <c:v>188592.01449999999</c:v>
                </c:pt>
              </c:numCache>
            </c:numRef>
          </c:val>
          <c:extLst>
            <c:ext xmlns:c16="http://schemas.microsoft.com/office/drawing/2014/chart" uri="{C3380CC4-5D6E-409C-BE32-E72D297353CC}">
              <c16:uniqueId val="{00000002-52C4-4E02-B607-18783B7307E6}"/>
            </c:ext>
          </c:extLst>
        </c:ser>
        <c:dLbls>
          <c:showLegendKey val="0"/>
          <c:showVal val="0"/>
          <c:showCatName val="0"/>
          <c:showSerName val="0"/>
          <c:showPercent val="0"/>
          <c:showBubbleSize val="0"/>
        </c:dLbls>
        <c:gapWidth val="150"/>
        <c:shape val="box"/>
        <c:axId val="2103905679"/>
        <c:axId val="1103242959"/>
        <c:axId val="0"/>
      </c:bar3DChart>
      <c:catAx>
        <c:axId val="21039056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42959"/>
        <c:crosses val="autoZero"/>
        <c:auto val="1"/>
        <c:lblAlgn val="ctr"/>
        <c:lblOffset val="100"/>
        <c:noMultiLvlLbl val="0"/>
      </c:catAx>
      <c:valAx>
        <c:axId val="1103242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05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c:f>
              <c:strCache>
                <c:ptCount val="1"/>
                <c:pt idx="0">
                  <c:v>Total</c:v>
                </c:pt>
              </c:strCache>
            </c:strRef>
          </c:tx>
          <c:spPr>
            <a:ln w="28575" cap="rnd">
              <a:solidFill>
                <a:schemeClr val="accent1"/>
              </a:solidFill>
              <a:round/>
            </a:ln>
            <a:effectLst/>
          </c:spPr>
          <c:marker>
            <c:symbol val="none"/>
          </c:marker>
          <c:cat>
            <c:strRef>
              <c:f>Sheet1!$A$33:$A$45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Sheet1!$B$33:$B$45</c:f>
              <c:numCache>
                <c:formatCode>0.00</c:formatCode>
                <c:ptCount val="12"/>
                <c:pt idx="0">
                  <c:v>74477.156900000002</c:v>
                </c:pt>
                <c:pt idx="1">
                  <c:v>49684.8033</c:v>
                </c:pt>
                <c:pt idx="2">
                  <c:v>74526.039500000014</c:v>
                </c:pt>
                <c:pt idx="3">
                  <c:v>67092.231700000018</c:v>
                </c:pt>
                <c:pt idx="4">
                  <c:v>55618.138800000001</c:v>
                </c:pt>
                <c:pt idx="5">
                  <c:v>30396.041400000002</c:v>
                </c:pt>
                <c:pt idx="6">
                  <c:v>29621.342700000001</c:v>
                </c:pt>
                <c:pt idx="7">
                  <c:v>29206.604799999994</c:v>
                </c:pt>
                <c:pt idx="8">
                  <c:v>30729.924300000002</c:v>
                </c:pt>
                <c:pt idx="9">
                  <c:v>29089.718099999998</c:v>
                </c:pt>
                <c:pt idx="10">
                  <c:v>34447.747200000005</c:v>
                </c:pt>
                <c:pt idx="11">
                  <c:v>35539.869899999998</c:v>
                </c:pt>
              </c:numCache>
            </c:numRef>
          </c:val>
          <c:smooth val="0"/>
          <c:extLst>
            <c:ext xmlns:c16="http://schemas.microsoft.com/office/drawing/2014/chart" uri="{C3380CC4-5D6E-409C-BE32-E72D297353CC}">
              <c16:uniqueId val="{00000000-8A2A-44F2-B410-AF7A12053B80}"/>
            </c:ext>
          </c:extLst>
        </c:ser>
        <c:dLbls>
          <c:showLegendKey val="0"/>
          <c:showVal val="0"/>
          <c:showCatName val="0"/>
          <c:showSerName val="0"/>
          <c:showPercent val="0"/>
          <c:showBubbleSize val="0"/>
        </c:dLbls>
        <c:smooth val="0"/>
        <c:axId val="942575535"/>
        <c:axId val="1596365295"/>
      </c:lineChart>
      <c:catAx>
        <c:axId val="94257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65295"/>
        <c:crosses val="autoZero"/>
        <c:auto val="1"/>
        <c:lblAlgn val="ctr"/>
        <c:lblOffset val="100"/>
        <c:noMultiLvlLbl val="0"/>
      </c:catAx>
      <c:valAx>
        <c:axId val="1596365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57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8B-4530-B6A7-8DCBDD7F0E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8B-4530-B6A7-8DCBDD7F0E5B}"/>
              </c:ext>
            </c:extLst>
          </c:dPt>
          <c:cat>
            <c:strRef>
              <c:f>Sheet1!$A$47:$A$49</c:f>
              <c:strCache>
                <c:ptCount val="2"/>
                <c:pt idx="0">
                  <c:v>2022</c:v>
                </c:pt>
                <c:pt idx="1">
                  <c:v>2023</c:v>
                </c:pt>
              </c:strCache>
            </c:strRef>
          </c:cat>
          <c:val>
            <c:numRef>
              <c:f>Sheet1!$B$47:$B$49</c:f>
              <c:numCache>
                <c:formatCode>0.00</c:formatCode>
                <c:ptCount val="2"/>
                <c:pt idx="0">
                  <c:v>395418.91149999993</c:v>
                </c:pt>
                <c:pt idx="1">
                  <c:v>145010.70710000003</c:v>
                </c:pt>
              </c:numCache>
            </c:numRef>
          </c:val>
          <c:extLst>
            <c:ext xmlns:c16="http://schemas.microsoft.com/office/drawing/2014/chart" uri="{C3380CC4-5D6E-409C-BE32-E72D297353CC}">
              <c16:uniqueId val="{00000000-A6A5-481E-BB13-B00A6A7B48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Sheet1!$B$60</c:f>
              <c:strCache>
                <c:ptCount val="1"/>
                <c:pt idx="0">
                  <c:v>Total</c:v>
                </c:pt>
              </c:strCache>
            </c:strRef>
          </c:tx>
          <c:spPr>
            <a:solidFill>
              <a:schemeClr val="accent1"/>
            </a:solidFill>
            <a:ln>
              <a:noFill/>
            </a:ln>
            <a:effectLst/>
          </c:spPr>
          <c:invertIfNegative val="0"/>
          <c:cat>
            <c:strRef>
              <c:f>Sheet1!$A$61:$A$66</c:f>
              <c:strCache>
                <c:ptCount val="5"/>
                <c:pt idx="0">
                  <c:v> VeryLow</c:v>
                </c:pt>
                <c:pt idx="1">
                  <c:v>High</c:v>
                </c:pt>
                <c:pt idx="2">
                  <c:v>Low</c:v>
                </c:pt>
                <c:pt idx="3">
                  <c:v>Medium</c:v>
                </c:pt>
                <c:pt idx="4">
                  <c:v>VeryHigh</c:v>
                </c:pt>
              </c:strCache>
            </c:strRef>
          </c:cat>
          <c:val>
            <c:numRef>
              <c:f>Sheet1!$B$61:$B$66</c:f>
              <c:numCache>
                <c:formatCode>0.00</c:formatCode>
                <c:ptCount val="5"/>
                <c:pt idx="0">
                  <c:v>42913.319899999988</c:v>
                </c:pt>
                <c:pt idx="1">
                  <c:v>148508.11160000003</c:v>
                </c:pt>
                <c:pt idx="2">
                  <c:v>79832.210400000011</c:v>
                </c:pt>
                <c:pt idx="3">
                  <c:v>208823.24040000004</c:v>
                </c:pt>
                <c:pt idx="4">
                  <c:v>60352.736299999997</c:v>
                </c:pt>
              </c:numCache>
            </c:numRef>
          </c:val>
          <c:extLst>
            <c:ext xmlns:c16="http://schemas.microsoft.com/office/drawing/2014/chart" uri="{C3380CC4-5D6E-409C-BE32-E72D297353CC}">
              <c16:uniqueId val="{00000000-14BE-4FA2-8062-9D8BABC488FB}"/>
            </c:ext>
          </c:extLst>
        </c:ser>
        <c:dLbls>
          <c:showLegendKey val="0"/>
          <c:showVal val="0"/>
          <c:showCatName val="0"/>
          <c:showSerName val="0"/>
          <c:showPercent val="0"/>
          <c:showBubbleSize val="0"/>
        </c:dLbls>
        <c:gapWidth val="219"/>
        <c:overlap val="-27"/>
        <c:axId val="1018082751"/>
        <c:axId val="1772024719"/>
      </c:barChart>
      <c:catAx>
        <c:axId val="10180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24719"/>
        <c:crosses val="autoZero"/>
        <c:auto val="1"/>
        <c:lblAlgn val="ctr"/>
        <c:lblOffset val="100"/>
        <c:noMultiLvlLbl val="0"/>
      </c:catAx>
      <c:valAx>
        <c:axId val="1772024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Sheet1!$B$76</c:f>
              <c:strCache>
                <c:ptCount val="1"/>
                <c:pt idx="0">
                  <c:v>Sum of Total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7-4EF6-9BC4-6D2F327807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7-4EF6-9BC4-6D2F327807AE}"/>
              </c:ext>
            </c:extLst>
          </c:dPt>
          <c:cat>
            <c:strRef>
              <c:f>Sheet1!$A$77:$A$79</c:f>
              <c:strCache>
                <c:ptCount val="2"/>
                <c:pt idx="0">
                  <c:v>Mobile App</c:v>
                </c:pt>
                <c:pt idx="1">
                  <c:v>Online</c:v>
                </c:pt>
              </c:strCache>
            </c:strRef>
          </c:cat>
          <c:val>
            <c:numRef>
              <c:f>Sheet1!$B$77:$B$79</c:f>
              <c:numCache>
                <c:formatCode>0.00</c:formatCode>
                <c:ptCount val="2"/>
                <c:pt idx="0">
                  <c:v>242770.14090000006</c:v>
                </c:pt>
                <c:pt idx="1">
                  <c:v>297659.47770000022</c:v>
                </c:pt>
              </c:numCache>
            </c:numRef>
          </c:val>
          <c:extLst>
            <c:ext xmlns:c16="http://schemas.microsoft.com/office/drawing/2014/chart" uri="{C3380CC4-5D6E-409C-BE32-E72D297353CC}">
              <c16:uniqueId val="{00000000-1D08-4186-AB3A-EDDFCE768301}"/>
            </c:ext>
          </c:extLst>
        </c:ser>
        <c:ser>
          <c:idx val="1"/>
          <c:order val="1"/>
          <c:tx>
            <c:strRef>
              <c:f>Sheet1!$C$76</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337-4EF6-9BC4-6D2F327807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337-4EF6-9BC4-6D2F327807AE}"/>
              </c:ext>
            </c:extLst>
          </c:dPt>
          <c:cat>
            <c:strRef>
              <c:f>Sheet1!$A$77:$A$79</c:f>
              <c:strCache>
                <c:ptCount val="2"/>
                <c:pt idx="0">
                  <c:v>Mobile App</c:v>
                </c:pt>
                <c:pt idx="1">
                  <c:v>Online</c:v>
                </c:pt>
              </c:strCache>
            </c:strRef>
          </c:cat>
          <c:val>
            <c:numRef>
              <c:f>Sheet1!$C$77:$C$79</c:f>
              <c:numCache>
                <c:formatCode>General</c:formatCode>
                <c:ptCount val="2"/>
                <c:pt idx="0">
                  <c:v>235</c:v>
                </c:pt>
                <c:pt idx="1">
                  <c:v>265</c:v>
                </c:pt>
              </c:numCache>
            </c:numRef>
          </c:val>
          <c:extLst>
            <c:ext xmlns:c16="http://schemas.microsoft.com/office/drawing/2014/chart" uri="{C3380CC4-5D6E-409C-BE32-E72D297353CC}">
              <c16:uniqueId val="{00000001-1D08-4186-AB3A-EDDFCE7683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Sheet1!$B$16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459-4493-BD25-8556BC4BC19D}"/>
              </c:ext>
            </c:extLst>
          </c:dPt>
          <c:dPt>
            <c:idx val="1"/>
            <c:bubble3D val="0"/>
            <c:spPr>
              <a:solidFill>
                <a:schemeClr val="accent2"/>
              </a:solidFill>
              <a:ln>
                <a:noFill/>
              </a:ln>
              <a:effectLst/>
            </c:spPr>
            <c:extLst>
              <c:ext xmlns:c16="http://schemas.microsoft.com/office/drawing/2014/chart" uri="{C3380CC4-5D6E-409C-BE32-E72D297353CC}">
                <c16:uniqueId val="{00000003-E459-4493-BD25-8556BC4BC19D}"/>
              </c:ext>
            </c:extLst>
          </c:dPt>
          <c:dPt>
            <c:idx val="2"/>
            <c:bubble3D val="0"/>
            <c:spPr>
              <a:solidFill>
                <a:schemeClr val="accent3"/>
              </a:solidFill>
              <a:ln>
                <a:noFill/>
              </a:ln>
              <a:effectLst/>
            </c:spPr>
            <c:extLst>
              <c:ext xmlns:c16="http://schemas.microsoft.com/office/drawing/2014/chart" uri="{C3380CC4-5D6E-409C-BE32-E72D297353CC}">
                <c16:uniqueId val="{00000005-E459-4493-BD25-8556BC4BC19D}"/>
              </c:ext>
            </c:extLst>
          </c:dPt>
          <c:dPt>
            <c:idx val="3"/>
            <c:bubble3D val="0"/>
            <c:spPr>
              <a:solidFill>
                <a:schemeClr val="accent4"/>
              </a:solidFill>
              <a:ln>
                <a:noFill/>
              </a:ln>
              <a:effectLst/>
            </c:spPr>
            <c:extLst>
              <c:ext xmlns:c16="http://schemas.microsoft.com/office/drawing/2014/chart" uri="{C3380CC4-5D6E-409C-BE32-E72D297353CC}">
                <c16:uniqueId val="{00000007-E459-4493-BD25-8556BC4BC19D}"/>
              </c:ext>
            </c:extLst>
          </c:dPt>
          <c:dPt>
            <c:idx val="4"/>
            <c:bubble3D val="0"/>
            <c:spPr>
              <a:solidFill>
                <a:schemeClr val="accent5"/>
              </a:solidFill>
              <a:ln>
                <a:noFill/>
              </a:ln>
              <a:effectLst/>
            </c:spPr>
            <c:extLst>
              <c:ext xmlns:c16="http://schemas.microsoft.com/office/drawing/2014/chart" uri="{C3380CC4-5D6E-409C-BE32-E72D297353CC}">
                <c16:uniqueId val="{00000009-E459-4493-BD25-8556BC4BC19D}"/>
              </c:ext>
            </c:extLst>
          </c:dPt>
          <c:cat>
            <c:strRef>
              <c:f>Sheet1!$A$17:$A$22</c:f>
              <c:strCache>
                <c:ptCount val="5"/>
                <c:pt idx="0">
                  <c:v>Central</c:v>
                </c:pt>
                <c:pt idx="1">
                  <c:v>East</c:v>
                </c:pt>
                <c:pt idx="2">
                  <c:v>North</c:v>
                </c:pt>
                <c:pt idx="3">
                  <c:v>South</c:v>
                </c:pt>
                <c:pt idx="4">
                  <c:v>West</c:v>
                </c:pt>
              </c:strCache>
            </c:strRef>
          </c:cat>
          <c:val>
            <c:numRef>
              <c:f>Sheet1!$B$17:$B$22</c:f>
              <c:numCache>
                <c:formatCode>General</c:formatCode>
                <c:ptCount val="5"/>
                <c:pt idx="0">
                  <c:v>101</c:v>
                </c:pt>
                <c:pt idx="1">
                  <c:v>99</c:v>
                </c:pt>
                <c:pt idx="2">
                  <c:v>110</c:v>
                </c:pt>
                <c:pt idx="3">
                  <c:v>84</c:v>
                </c:pt>
                <c:pt idx="4">
                  <c:v>106</c:v>
                </c:pt>
              </c:numCache>
            </c:numRef>
          </c:val>
          <c:extLst>
            <c:ext xmlns:c16="http://schemas.microsoft.com/office/drawing/2014/chart" uri="{C3380CC4-5D6E-409C-BE32-E72D297353CC}">
              <c16:uniqueId val="{00000000-D749-4F38-9456-ACED44EE70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Beauty</c:v>
                </c:pt>
                <c:pt idx="1">
                  <c:v>Books</c:v>
                </c:pt>
                <c:pt idx="2">
                  <c:v>Electronics</c:v>
                </c:pt>
                <c:pt idx="3">
                  <c:v>Fashion</c:v>
                </c:pt>
                <c:pt idx="4">
                  <c:v>Home &amp; Kitchen</c:v>
                </c:pt>
              </c:strCache>
            </c:strRef>
          </c:cat>
          <c:val>
            <c:numRef>
              <c:f>Sheet1!$B$4:$B$9</c:f>
              <c:numCache>
                <c:formatCode>0.00</c:formatCode>
                <c:ptCount val="5"/>
                <c:pt idx="0">
                  <c:v>124454.44960000001</c:v>
                </c:pt>
                <c:pt idx="1">
                  <c:v>108456.07240000002</c:v>
                </c:pt>
                <c:pt idx="2">
                  <c:v>93628.553200000009</c:v>
                </c:pt>
                <c:pt idx="3">
                  <c:v>101701.31869999997</c:v>
                </c:pt>
                <c:pt idx="4">
                  <c:v>112189.22469999999</c:v>
                </c:pt>
              </c:numCache>
            </c:numRef>
          </c:val>
          <c:extLst>
            <c:ext xmlns:c16="http://schemas.microsoft.com/office/drawing/2014/chart" uri="{C3380CC4-5D6E-409C-BE32-E72D297353CC}">
              <c16:uniqueId val="{00000000-D9D5-417D-B814-B40C7D070391}"/>
            </c:ext>
          </c:extLst>
        </c:ser>
        <c:dLbls>
          <c:showLegendKey val="0"/>
          <c:showVal val="0"/>
          <c:showCatName val="0"/>
          <c:showSerName val="0"/>
          <c:showPercent val="0"/>
          <c:showBubbleSize val="0"/>
        </c:dLbls>
        <c:gapWidth val="219"/>
        <c:overlap val="-27"/>
        <c:axId val="1007588175"/>
        <c:axId val="1596397455"/>
      </c:barChart>
      <c:catAx>
        <c:axId val="100758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397455"/>
        <c:crosses val="autoZero"/>
        <c:auto val="1"/>
        <c:lblAlgn val="ctr"/>
        <c:lblOffset val="100"/>
        <c:noMultiLvlLbl val="0"/>
      </c:catAx>
      <c:valAx>
        <c:axId val="1596397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8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[amazon_store_sales.xlsx]Sheet4!PivotTable11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Sheet4!$B$3:$B$4</c:f>
              <c:strCache>
                <c:ptCount val="1"/>
                <c:pt idx="0">
                  <c:v>Beauty</c:v>
                </c:pt>
              </c:strCache>
            </c:strRef>
          </c:tx>
          <c:spPr>
            <a:solidFill>
              <a:schemeClr val="accent1"/>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Sheet4!$B$5:$B$10</c:f>
              <c:numCache>
                <c:formatCode>0.00</c:formatCode>
                <c:ptCount val="5"/>
                <c:pt idx="0">
                  <c:v>29431.727099999996</c:v>
                </c:pt>
                <c:pt idx="1">
                  <c:v>31667.108799999998</c:v>
                </c:pt>
                <c:pt idx="2">
                  <c:v>20602.208999999999</c:v>
                </c:pt>
                <c:pt idx="3">
                  <c:v>8866.9151000000002</c:v>
                </c:pt>
                <c:pt idx="4">
                  <c:v>33886.489599999994</c:v>
                </c:pt>
              </c:numCache>
            </c:numRef>
          </c:val>
          <c:extLst>
            <c:ext xmlns:c16="http://schemas.microsoft.com/office/drawing/2014/chart" uri="{C3380CC4-5D6E-409C-BE32-E72D297353CC}">
              <c16:uniqueId val="{00000000-A2A9-4D96-8A5C-1B83D7E52B23}"/>
            </c:ext>
          </c:extLst>
        </c:ser>
        <c:ser>
          <c:idx val="1"/>
          <c:order val="1"/>
          <c:tx>
            <c:strRef>
              <c:f>Sheet4!$C$3:$C$4</c:f>
              <c:strCache>
                <c:ptCount val="1"/>
                <c:pt idx="0">
                  <c:v>Books</c:v>
                </c:pt>
              </c:strCache>
            </c:strRef>
          </c:tx>
          <c:spPr>
            <a:solidFill>
              <a:schemeClr val="accent2"/>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Sheet4!$C$5:$C$10</c:f>
              <c:numCache>
                <c:formatCode>0.00</c:formatCode>
                <c:ptCount val="5"/>
                <c:pt idx="0">
                  <c:v>18088.379499999999</c:v>
                </c:pt>
                <c:pt idx="1">
                  <c:v>28108.097800000003</c:v>
                </c:pt>
                <c:pt idx="2">
                  <c:v>26860.259300000002</c:v>
                </c:pt>
                <c:pt idx="3">
                  <c:v>18228.211499999998</c:v>
                </c:pt>
                <c:pt idx="4">
                  <c:v>17171.124299999996</c:v>
                </c:pt>
              </c:numCache>
            </c:numRef>
          </c:val>
          <c:extLst>
            <c:ext xmlns:c16="http://schemas.microsoft.com/office/drawing/2014/chart" uri="{C3380CC4-5D6E-409C-BE32-E72D297353CC}">
              <c16:uniqueId val="{00000001-A2A9-4D96-8A5C-1B83D7E52B23}"/>
            </c:ext>
          </c:extLst>
        </c:ser>
        <c:ser>
          <c:idx val="2"/>
          <c:order val="2"/>
          <c:tx>
            <c:strRef>
              <c:f>Sheet4!$D$3:$D$4</c:f>
              <c:strCache>
                <c:ptCount val="1"/>
                <c:pt idx="0">
                  <c:v>Electronics</c:v>
                </c:pt>
              </c:strCache>
            </c:strRef>
          </c:tx>
          <c:spPr>
            <a:solidFill>
              <a:schemeClr val="accent3"/>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Sheet4!$D$5:$D$10</c:f>
              <c:numCache>
                <c:formatCode>0.00</c:formatCode>
                <c:ptCount val="5"/>
                <c:pt idx="0">
                  <c:v>21565.478999999999</c:v>
                </c:pt>
                <c:pt idx="1">
                  <c:v>11807.064</c:v>
                </c:pt>
                <c:pt idx="2">
                  <c:v>17050.7716</c:v>
                </c:pt>
                <c:pt idx="3">
                  <c:v>22999.466600000003</c:v>
                </c:pt>
                <c:pt idx="4">
                  <c:v>20205.771999999997</c:v>
                </c:pt>
              </c:numCache>
            </c:numRef>
          </c:val>
          <c:extLst>
            <c:ext xmlns:c16="http://schemas.microsoft.com/office/drawing/2014/chart" uri="{C3380CC4-5D6E-409C-BE32-E72D297353CC}">
              <c16:uniqueId val="{00000003-60CF-4C1B-AF05-8D1F58692A06}"/>
            </c:ext>
          </c:extLst>
        </c:ser>
        <c:ser>
          <c:idx val="3"/>
          <c:order val="3"/>
          <c:tx>
            <c:strRef>
              <c:f>Sheet4!$E$3:$E$4</c:f>
              <c:strCache>
                <c:ptCount val="1"/>
                <c:pt idx="0">
                  <c:v>Fashion</c:v>
                </c:pt>
              </c:strCache>
            </c:strRef>
          </c:tx>
          <c:spPr>
            <a:solidFill>
              <a:schemeClr val="accent4"/>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Sheet4!$E$5:$E$10</c:f>
              <c:numCache>
                <c:formatCode>0.00</c:formatCode>
                <c:ptCount val="5"/>
                <c:pt idx="0">
                  <c:v>19435.602699999999</c:v>
                </c:pt>
                <c:pt idx="1">
                  <c:v>22376.254000000001</c:v>
                </c:pt>
                <c:pt idx="2">
                  <c:v>24103.667599999993</c:v>
                </c:pt>
                <c:pt idx="3">
                  <c:v>15768.5484</c:v>
                </c:pt>
                <c:pt idx="4">
                  <c:v>20017.246000000003</c:v>
                </c:pt>
              </c:numCache>
            </c:numRef>
          </c:val>
          <c:extLst>
            <c:ext xmlns:c16="http://schemas.microsoft.com/office/drawing/2014/chart" uri="{C3380CC4-5D6E-409C-BE32-E72D297353CC}">
              <c16:uniqueId val="{00000004-60CF-4C1B-AF05-8D1F58692A06}"/>
            </c:ext>
          </c:extLst>
        </c:ser>
        <c:ser>
          <c:idx val="4"/>
          <c:order val="4"/>
          <c:tx>
            <c:strRef>
              <c:f>Sheet4!$F$3:$F$4</c:f>
              <c:strCache>
                <c:ptCount val="1"/>
                <c:pt idx="0">
                  <c:v>Home &amp; Kitchen</c:v>
                </c:pt>
              </c:strCache>
            </c:strRef>
          </c:tx>
          <c:spPr>
            <a:solidFill>
              <a:schemeClr val="accent5"/>
            </a:solidFill>
            <a:ln>
              <a:noFill/>
            </a:ln>
            <a:effectLst/>
          </c:spPr>
          <c:invertIfNegative val="0"/>
          <c:cat>
            <c:strRef>
              <c:f>Sheet4!$A$5:$A$10</c:f>
              <c:strCache>
                <c:ptCount val="5"/>
                <c:pt idx="0">
                  <c:v>Central</c:v>
                </c:pt>
                <c:pt idx="1">
                  <c:v>East</c:v>
                </c:pt>
                <c:pt idx="2">
                  <c:v>North</c:v>
                </c:pt>
                <c:pt idx="3">
                  <c:v>South</c:v>
                </c:pt>
                <c:pt idx="4">
                  <c:v>West</c:v>
                </c:pt>
              </c:strCache>
            </c:strRef>
          </c:cat>
          <c:val>
            <c:numRef>
              <c:f>Sheet4!$F$5:$F$10</c:f>
              <c:numCache>
                <c:formatCode>0.00</c:formatCode>
                <c:ptCount val="5"/>
                <c:pt idx="0">
                  <c:v>26940.434200000003</c:v>
                </c:pt>
                <c:pt idx="1">
                  <c:v>15742.477999999999</c:v>
                </c:pt>
                <c:pt idx="2">
                  <c:v>20739.068899999995</c:v>
                </c:pt>
                <c:pt idx="3">
                  <c:v>19213.815300000002</c:v>
                </c:pt>
                <c:pt idx="4">
                  <c:v>29553.428300000007</c:v>
                </c:pt>
              </c:numCache>
            </c:numRef>
          </c:val>
          <c:extLst>
            <c:ext xmlns:c16="http://schemas.microsoft.com/office/drawing/2014/chart" uri="{C3380CC4-5D6E-409C-BE32-E72D297353CC}">
              <c16:uniqueId val="{00000005-60CF-4C1B-AF05-8D1F58692A06}"/>
            </c:ext>
          </c:extLst>
        </c:ser>
        <c:dLbls>
          <c:showLegendKey val="0"/>
          <c:showVal val="0"/>
          <c:showCatName val="0"/>
          <c:showSerName val="0"/>
          <c:showPercent val="0"/>
          <c:showBubbleSize val="0"/>
        </c:dLbls>
        <c:gapWidth val="182"/>
        <c:overlap val="100"/>
        <c:axId val="1066160799"/>
        <c:axId val="1087708079"/>
      </c:barChart>
      <c:catAx>
        <c:axId val="10661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08079"/>
        <c:crosses val="autoZero"/>
        <c:auto val="1"/>
        <c:lblAlgn val="ctr"/>
        <c:lblOffset val="100"/>
        <c:noMultiLvlLbl val="0"/>
      </c:catAx>
      <c:valAx>
        <c:axId val="1087708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6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[amazon_store_sales.xlsx]Sheet5!PivotTable3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Sum of Total Discount</c:v>
                </c:pt>
              </c:strCache>
            </c:strRef>
          </c:tx>
          <c:spPr>
            <a:solidFill>
              <a:schemeClr val="accent1"/>
            </a:solidFill>
            <a:ln>
              <a:noFill/>
            </a:ln>
            <a:effectLst/>
            <a:sp3d/>
          </c:spPr>
          <c:invertIfNegative val="0"/>
          <c:cat>
            <c:strRef>
              <c:f>Sheet5!$A$4:$A$7</c:f>
              <c:strCache>
                <c:ptCount val="3"/>
                <c:pt idx="0">
                  <c:v>High</c:v>
                </c:pt>
                <c:pt idx="1">
                  <c:v>Low</c:v>
                </c:pt>
                <c:pt idx="2">
                  <c:v>Medium</c:v>
                </c:pt>
              </c:strCache>
            </c:strRef>
          </c:cat>
          <c:val>
            <c:numRef>
              <c:f>Sheet5!$B$4:$B$7</c:f>
              <c:numCache>
                <c:formatCode>General</c:formatCode>
                <c:ptCount val="3"/>
                <c:pt idx="0">
                  <c:v>54157.927099999994</c:v>
                </c:pt>
                <c:pt idx="1">
                  <c:v>8919.6687999999976</c:v>
                </c:pt>
                <c:pt idx="2">
                  <c:v>31208.515499999994</c:v>
                </c:pt>
              </c:numCache>
            </c:numRef>
          </c:val>
          <c:extLst>
            <c:ext xmlns:c16="http://schemas.microsoft.com/office/drawing/2014/chart" uri="{C3380CC4-5D6E-409C-BE32-E72D297353CC}">
              <c16:uniqueId val="{00000000-92A5-4495-9931-92D01BE74263}"/>
            </c:ext>
          </c:extLst>
        </c:ser>
        <c:ser>
          <c:idx val="1"/>
          <c:order val="1"/>
          <c:tx>
            <c:strRef>
              <c:f>Sheet5!$C$3</c:f>
              <c:strCache>
                <c:ptCount val="1"/>
                <c:pt idx="0">
                  <c:v>Count of OrderID</c:v>
                </c:pt>
              </c:strCache>
            </c:strRef>
          </c:tx>
          <c:spPr>
            <a:solidFill>
              <a:schemeClr val="accent2"/>
            </a:solidFill>
            <a:ln>
              <a:noFill/>
            </a:ln>
            <a:effectLst/>
            <a:sp3d/>
          </c:spPr>
          <c:invertIfNegative val="0"/>
          <c:cat>
            <c:strRef>
              <c:f>Sheet5!$A$4:$A$7</c:f>
              <c:strCache>
                <c:ptCount val="3"/>
                <c:pt idx="0">
                  <c:v>High</c:v>
                </c:pt>
                <c:pt idx="1">
                  <c:v>Low</c:v>
                </c:pt>
                <c:pt idx="2">
                  <c:v>Medium</c:v>
                </c:pt>
              </c:strCache>
            </c:strRef>
          </c:cat>
          <c:val>
            <c:numRef>
              <c:f>Sheet5!$C$4:$C$7</c:f>
              <c:numCache>
                <c:formatCode>General</c:formatCode>
                <c:ptCount val="3"/>
                <c:pt idx="0">
                  <c:v>172</c:v>
                </c:pt>
                <c:pt idx="1">
                  <c:v>160</c:v>
                </c:pt>
                <c:pt idx="2">
                  <c:v>168</c:v>
                </c:pt>
              </c:numCache>
            </c:numRef>
          </c:val>
          <c:extLst>
            <c:ext xmlns:c16="http://schemas.microsoft.com/office/drawing/2014/chart" uri="{C3380CC4-5D6E-409C-BE32-E72D297353CC}">
              <c16:uniqueId val="{00000001-92A5-4495-9931-92D01BE74263}"/>
            </c:ext>
          </c:extLst>
        </c:ser>
        <c:ser>
          <c:idx val="2"/>
          <c:order val="2"/>
          <c:tx>
            <c:strRef>
              <c:f>Sheet5!$D$3</c:f>
              <c:strCache>
                <c:ptCount val="1"/>
                <c:pt idx="0">
                  <c:v>Sum of Total Price</c:v>
                </c:pt>
              </c:strCache>
            </c:strRef>
          </c:tx>
          <c:spPr>
            <a:solidFill>
              <a:schemeClr val="accent3"/>
            </a:solidFill>
            <a:ln>
              <a:noFill/>
            </a:ln>
            <a:effectLst/>
            <a:sp3d/>
          </c:spPr>
          <c:invertIfNegative val="0"/>
          <c:cat>
            <c:strRef>
              <c:f>Sheet5!$A$4:$A$7</c:f>
              <c:strCache>
                <c:ptCount val="3"/>
                <c:pt idx="0">
                  <c:v>High</c:v>
                </c:pt>
                <c:pt idx="1">
                  <c:v>Low</c:v>
                </c:pt>
                <c:pt idx="2">
                  <c:v>Medium</c:v>
                </c:pt>
              </c:strCache>
            </c:strRef>
          </c:cat>
          <c:val>
            <c:numRef>
              <c:f>Sheet5!$D$4:$D$7</c:f>
              <c:numCache>
                <c:formatCode>0.00</c:formatCode>
                <c:ptCount val="3"/>
                <c:pt idx="0">
                  <c:v>166407.78289999987</c:v>
                </c:pt>
                <c:pt idx="1">
                  <c:v>185429.82120000006</c:v>
                </c:pt>
                <c:pt idx="2">
                  <c:v>188592.01449999999</c:v>
                </c:pt>
              </c:numCache>
            </c:numRef>
          </c:val>
          <c:extLst>
            <c:ext xmlns:c16="http://schemas.microsoft.com/office/drawing/2014/chart" uri="{C3380CC4-5D6E-409C-BE32-E72D297353CC}">
              <c16:uniqueId val="{00000002-92A5-4495-9931-92D01BE74263}"/>
            </c:ext>
          </c:extLst>
        </c:ser>
        <c:dLbls>
          <c:showLegendKey val="0"/>
          <c:showVal val="0"/>
          <c:showCatName val="0"/>
          <c:showSerName val="0"/>
          <c:showPercent val="0"/>
          <c:showBubbleSize val="0"/>
        </c:dLbls>
        <c:gapWidth val="150"/>
        <c:shape val="box"/>
        <c:axId val="2103905679"/>
        <c:axId val="1103242959"/>
        <c:axId val="0"/>
      </c:bar3DChart>
      <c:catAx>
        <c:axId val="210390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42959"/>
        <c:crosses val="autoZero"/>
        <c:auto val="1"/>
        <c:lblAlgn val="ctr"/>
        <c:lblOffset val="100"/>
        <c:noMultiLvlLbl val="0"/>
      </c:catAx>
      <c:valAx>
        <c:axId val="110324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0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0</xdr:colOff>
      <xdr:row>13</xdr:row>
      <xdr:rowOff>91440</xdr:rowOff>
    </xdr:from>
    <xdr:to>
      <xdr:col>4</xdr:col>
      <xdr:colOff>205740</xdr:colOff>
      <xdr:row>14</xdr:row>
      <xdr:rowOff>160020</xdr:rowOff>
    </xdr:to>
    <xdr:graphicFrame macro="">
      <xdr:nvGraphicFramePr>
        <xdr:cNvPr id="2" name="Chart 1">
          <a:extLst>
            <a:ext uri="{FF2B5EF4-FFF2-40B4-BE49-F238E27FC236}">
              <a16:creationId xmlns:a16="http://schemas.microsoft.com/office/drawing/2014/main" id="{2BFA4324-AD8E-43B1-955C-D287D248D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502920</xdr:colOff>
      <xdr:row>0</xdr:row>
      <xdr:rowOff>327660</xdr:rowOff>
    </xdr:from>
    <xdr:to>
      <xdr:col>8</xdr:col>
      <xdr:colOff>571500</xdr:colOff>
      <xdr:row>13</xdr:row>
      <xdr:rowOff>91440</xdr:rowOff>
    </xdr:to>
    <xdr:graphicFrame macro="">
      <xdr:nvGraphicFramePr>
        <xdr:cNvPr id="3" name="Chart 2">
          <a:extLst>
            <a:ext uri="{FF2B5EF4-FFF2-40B4-BE49-F238E27FC236}">
              <a16:creationId xmlns:a16="http://schemas.microsoft.com/office/drawing/2014/main" id="{3E45024D-06BC-443E-ABFF-8FABDB4D8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0</xdr:row>
      <xdr:rowOff>320040</xdr:rowOff>
    </xdr:from>
    <xdr:to>
      <xdr:col>15</xdr:col>
      <xdr:colOff>365760</xdr:colOff>
      <xdr:row>13</xdr:row>
      <xdr:rowOff>53340</xdr:rowOff>
    </xdr:to>
    <xdr:graphicFrame macro="">
      <xdr:nvGraphicFramePr>
        <xdr:cNvPr id="4" name="Chart 3">
          <a:extLst>
            <a:ext uri="{FF2B5EF4-FFF2-40B4-BE49-F238E27FC236}">
              <a16:creationId xmlns:a16="http://schemas.microsoft.com/office/drawing/2014/main" id="{3E2EA4E6-D24C-4F11-A1A5-084615E8A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510540</xdr:colOff>
      <xdr:row>13</xdr:row>
      <xdr:rowOff>60960</xdr:rowOff>
    </xdr:from>
    <xdr:to>
      <xdr:col>8</xdr:col>
      <xdr:colOff>480060</xdr:colOff>
      <xdr:row>22</xdr:row>
      <xdr:rowOff>99060</xdr:rowOff>
    </xdr:to>
    <xdr:graphicFrame macro="">
      <xdr:nvGraphicFramePr>
        <xdr:cNvPr id="6" name="Chart 5">
          <a:extLst>
            <a:ext uri="{FF2B5EF4-FFF2-40B4-BE49-F238E27FC236}">
              <a16:creationId xmlns:a16="http://schemas.microsoft.com/office/drawing/2014/main" id="{3817AFA4-7ABF-4F24-A0EC-09BB51317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13</xdr:row>
      <xdr:rowOff>60960</xdr:rowOff>
    </xdr:from>
    <xdr:to>
      <xdr:col>15</xdr:col>
      <xdr:colOff>373380</xdr:colOff>
      <xdr:row>22</xdr:row>
      <xdr:rowOff>106680</xdr:rowOff>
    </xdr:to>
    <xdr:graphicFrame macro="">
      <xdr:nvGraphicFramePr>
        <xdr:cNvPr id="7" name="Chart 6">
          <a:extLst>
            <a:ext uri="{FF2B5EF4-FFF2-40B4-BE49-F238E27FC236}">
              <a16:creationId xmlns:a16="http://schemas.microsoft.com/office/drawing/2014/main" id="{6F96F1EF-47F5-4934-A160-46DB72691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510540</xdr:colOff>
      <xdr:row>22</xdr:row>
      <xdr:rowOff>114300</xdr:rowOff>
    </xdr:from>
    <xdr:to>
      <xdr:col>8</xdr:col>
      <xdr:colOff>129540</xdr:colOff>
      <xdr:row>33</xdr:row>
      <xdr:rowOff>182880</xdr:rowOff>
    </xdr:to>
    <xdr:graphicFrame macro="">
      <xdr:nvGraphicFramePr>
        <xdr:cNvPr id="9" name="Chart 8">
          <a:extLst>
            <a:ext uri="{FF2B5EF4-FFF2-40B4-BE49-F238E27FC236}">
              <a16:creationId xmlns:a16="http://schemas.microsoft.com/office/drawing/2014/main" id="{75A53877-851E-497B-A6D8-D89C3F75B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304800</xdr:colOff>
      <xdr:row>22</xdr:row>
      <xdr:rowOff>106680</xdr:rowOff>
    </xdr:from>
    <xdr:to>
      <xdr:col>15</xdr:col>
      <xdr:colOff>365760</xdr:colOff>
      <xdr:row>35</xdr:row>
      <xdr:rowOff>106680</xdr:rowOff>
    </xdr:to>
    <xdr:graphicFrame macro="">
      <xdr:nvGraphicFramePr>
        <xdr:cNvPr id="10" name="Chart 9">
          <a:extLst>
            <a:ext uri="{FF2B5EF4-FFF2-40B4-BE49-F238E27FC236}">
              <a16:creationId xmlns:a16="http://schemas.microsoft.com/office/drawing/2014/main" id="{E6E34062-92B9-4F01-9496-1F09B1F28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327661</xdr:rowOff>
    </xdr:from>
    <xdr:to>
      <xdr:col>2</xdr:col>
      <xdr:colOff>502920</xdr:colOff>
      <xdr:row>11</xdr:row>
      <xdr:rowOff>99061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E6482B4-575E-9A9E-6560-34CE5CF22F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7661"/>
              <a:ext cx="172212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xdr:rowOff>
    </xdr:from>
    <xdr:to>
      <xdr:col>2</xdr:col>
      <xdr:colOff>502920</xdr:colOff>
      <xdr:row>15</xdr:row>
      <xdr:rowOff>175261</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AF410A82-F07C-2BE3-CD22-DDF76C0B56B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2156461"/>
              <a:ext cx="172212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182881</xdr:rowOff>
    </xdr:from>
    <xdr:to>
      <xdr:col>2</xdr:col>
      <xdr:colOff>502920</xdr:colOff>
      <xdr:row>25</xdr:row>
      <xdr:rowOff>144780</xdr:rowOff>
    </xdr:to>
    <mc:AlternateContent xmlns:mc="http://schemas.openxmlformats.org/markup-compatibility/2006">
      <mc:Choice xmlns:a14="http://schemas.microsoft.com/office/drawing/2010/main" Requires="a14">
        <xdr:graphicFrame macro="">
          <xdr:nvGraphicFramePr>
            <xdr:cNvPr id="11" name="ProductCategory">
              <a:extLst>
                <a:ext uri="{FF2B5EF4-FFF2-40B4-BE49-F238E27FC236}">
                  <a16:creationId xmlns:a16="http://schemas.microsoft.com/office/drawing/2014/main" id="{EEF84F91-E5F4-BCC6-F864-8379B8DE1287}"/>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0" y="3101341"/>
              <a:ext cx="1722120"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25</xdr:row>
      <xdr:rowOff>45721</xdr:rowOff>
    </xdr:from>
    <xdr:to>
      <xdr:col>2</xdr:col>
      <xdr:colOff>510540</xdr:colOff>
      <xdr:row>31</xdr:row>
      <xdr:rowOff>137161</xdr:rowOff>
    </xdr:to>
    <mc:AlternateContent xmlns:mc="http://schemas.openxmlformats.org/markup-compatibility/2006">
      <mc:Choice xmlns:a14="http://schemas.microsoft.com/office/drawing/2010/main" Requires="a14">
        <xdr:graphicFrame macro="">
          <xdr:nvGraphicFramePr>
            <xdr:cNvPr id="12" name="DiscuntRange ">
              <a:extLst>
                <a:ext uri="{FF2B5EF4-FFF2-40B4-BE49-F238E27FC236}">
                  <a16:creationId xmlns:a16="http://schemas.microsoft.com/office/drawing/2014/main" id="{14A3F2C0-DB9E-CB67-71F9-42F8A26FC8DD}"/>
                </a:ext>
              </a:extLst>
            </xdr:cNvPr>
            <xdr:cNvGraphicFramePr/>
          </xdr:nvGraphicFramePr>
          <xdr:xfrm>
            <a:off x="0" y="0"/>
            <a:ext cx="0" cy="0"/>
          </xdr:xfrm>
          <a:graphic>
            <a:graphicData uri="http://schemas.microsoft.com/office/drawing/2010/slicer">
              <sle:slicer xmlns:sle="http://schemas.microsoft.com/office/drawing/2010/slicer" name="DiscuntRange "/>
            </a:graphicData>
          </a:graphic>
        </xdr:graphicFrame>
      </mc:Choice>
      <mc:Fallback>
        <xdr:sp macro="" textlink="">
          <xdr:nvSpPr>
            <xdr:cNvPr id="0" name=""/>
            <xdr:cNvSpPr>
              <a:spLocks noTextEdit="1"/>
            </xdr:cNvSpPr>
          </xdr:nvSpPr>
          <xdr:spPr>
            <a:xfrm>
              <a:off x="15240" y="4869181"/>
              <a:ext cx="17145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320040</xdr:colOff>
      <xdr:row>1</xdr:row>
      <xdr:rowOff>0</xdr:rowOff>
    </xdr:from>
    <xdr:to>
      <xdr:col>23</xdr:col>
      <xdr:colOff>518160</xdr:colOff>
      <xdr:row>16</xdr:row>
      <xdr:rowOff>76200</xdr:rowOff>
    </xdr:to>
    <xdr:graphicFrame macro="">
      <xdr:nvGraphicFramePr>
        <xdr:cNvPr id="14" name="Chart 13">
          <a:extLst>
            <a:ext uri="{FF2B5EF4-FFF2-40B4-BE49-F238E27FC236}">
              <a16:creationId xmlns:a16="http://schemas.microsoft.com/office/drawing/2014/main" id="{D598D292-DB8F-4DC3-B260-09AA18437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312420</xdr:colOff>
      <xdr:row>16</xdr:row>
      <xdr:rowOff>91440</xdr:rowOff>
    </xdr:from>
    <xdr:to>
      <xdr:col>23</xdr:col>
      <xdr:colOff>510540</xdr:colOff>
      <xdr:row>32</xdr:row>
      <xdr:rowOff>83820</xdr:rowOff>
    </xdr:to>
    <xdr:graphicFrame macro="">
      <xdr:nvGraphicFramePr>
        <xdr:cNvPr id="15" name="Chart 14">
          <a:extLst>
            <a:ext uri="{FF2B5EF4-FFF2-40B4-BE49-F238E27FC236}">
              <a16:creationId xmlns:a16="http://schemas.microsoft.com/office/drawing/2014/main" id="{231F159B-371A-423D-9347-3BFAB8580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31</xdr:row>
      <xdr:rowOff>76200</xdr:rowOff>
    </xdr:from>
    <xdr:to>
      <xdr:col>10</xdr:col>
      <xdr:colOff>381000</xdr:colOff>
      <xdr:row>42</xdr:row>
      <xdr:rowOff>99060</xdr:rowOff>
    </xdr:to>
    <xdr:graphicFrame macro="">
      <xdr:nvGraphicFramePr>
        <xdr:cNvPr id="2" name="Chart 1">
          <a:extLst>
            <a:ext uri="{FF2B5EF4-FFF2-40B4-BE49-F238E27FC236}">
              <a16:creationId xmlns:a16="http://schemas.microsoft.com/office/drawing/2014/main" id="{1862F6CD-CA89-E714-7FA0-6147B990C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43</xdr:row>
      <xdr:rowOff>152400</xdr:rowOff>
    </xdr:from>
    <xdr:to>
      <xdr:col>10</xdr:col>
      <xdr:colOff>480060</xdr:colOff>
      <xdr:row>52</xdr:row>
      <xdr:rowOff>22860</xdr:rowOff>
    </xdr:to>
    <xdr:graphicFrame macro="">
      <xdr:nvGraphicFramePr>
        <xdr:cNvPr id="3" name="Chart 2">
          <a:extLst>
            <a:ext uri="{FF2B5EF4-FFF2-40B4-BE49-F238E27FC236}">
              <a16:creationId xmlns:a16="http://schemas.microsoft.com/office/drawing/2014/main" id="{705ED7E2-9E24-4100-2C58-3F16DB94A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55</xdr:row>
      <xdr:rowOff>83820</xdr:rowOff>
    </xdr:from>
    <xdr:to>
      <xdr:col>10</xdr:col>
      <xdr:colOff>480060</xdr:colOff>
      <xdr:row>69</xdr:row>
      <xdr:rowOff>15240</xdr:rowOff>
    </xdr:to>
    <xdr:graphicFrame macro="">
      <xdr:nvGraphicFramePr>
        <xdr:cNvPr id="4" name="Chart 3">
          <a:extLst>
            <a:ext uri="{FF2B5EF4-FFF2-40B4-BE49-F238E27FC236}">
              <a16:creationId xmlns:a16="http://schemas.microsoft.com/office/drawing/2014/main" id="{212CF723-F266-E440-F384-1924F9DC4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xdr:colOff>
      <xdr:row>70</xdr:row>
      <xdr:rowOff>38100</xdr:rowOff>
    </xdr:from>
    <xdr:to>
      <xdr:col>10</xdr:col>
      <xdr:colOff>480060</xdr:colOff>
      <xdr:row>83</xdr:row>
      <xdr:rowOff>7620</xdr:rowOff>
    </xdr:to>
    <xdr:graphicFrame macro="">
      <xdr:nvGraphicFramePr>
        <xdr:cNvPr id="5" name="Chart 4">
          <a:extLst>
            <a:ext uri="{FF2B5EF4-FFF2-40B4-BE49-F238E27FC236}">
              <a16:creationId xmlns:a16="http://schemas.microsoft.com/office/drawing/2014/main" id="{38102E65-53D2-1F1C-9126-BE47FC5AD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175260</xdr:colOff>
      <xdr:row>11</xdr:row>
      <xdr:rowOff>60960</xdr:rowOff>
    </xdr:from>
    <xdr:to>
      <xdr:col>10</xdr:col>
      <xdr:colOff>480060</xdr:colOff>
      <xdr:row>21</xdr:row>
      <xdr:rowOff>41910</xdr:rowOff>
    </xdr:to>
    <xdr:graphicFrame macro="">
      <xdr:nvGraphicFramePr>
        <xdr:cNvPr id="6" name="Chart 5">
          <a:extLst>
            <a:ext uri="{FF2B5EF4-FFF2-40B4-BE49-F238E27FC236}">
              <a16:creationId xmlns:a16="http://schemas.microsoft.com/office/drawing/2014/main" id="{5EF284F0-4942-425B-0E46-C8EE1A10A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312420</xdr:colOff>
      <xdr:row>0</xdr:row>
      <xdr:rowOff>0</xdr:rowOff>
    </xdr:from>
    <xdr:to>
      <xdr:col>11</xdr:col>
      <xdr:colOff>7620</xdr:colOff>
      <xdr:row>11</xdr:row>
      <xdr:rowOff>60960</xdr:rowOff>
    </xdr:to>
    <xdr:graphicFrame macro="">
      <xdr:nvGraphicFramePr>
        <xdr:cNvPr id="7" name="Chart 6">
          <a:extLst>
            <a:ext uri="{FF2B5EF4-FFF2-40B4-BE49-F238E27FC236}">
              <a16:creationId xmlns:a16="http://schemas.microsoft.com/office/drawing/2014/main" id="{4F29EECF-3A5B-2AC5-61C8-82C1160CD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320040</xdr:colOff>
      <xdr:row>9</xdr:row>
      <xdr:rowOff>156210</xdr:rowOff>
    </xdr:from>
    <xdr:to>
      <xdr:col>9</xdr:col>
      <xdr:colOff>601980</xdr:colOff>
      <xdr:row>24</xdr:row>
      <xdr:rowOff>156210</xdr:rowOff>
    </xdr:to>
    <xdr:graphicFrame macro="">
      <xdr:nvGraphicFramePr>
        <xdr:cNvPr id="2" name="Chart 1">
          <a:extLst>
            <a:ext uri="{FF2B5EF4-FFF2-40B4-BE49-F238E27FC236}">
              <a16:creationId xmlns:a16="http://schemas.microsoft.com/office/drawing/2014/main" id="{6C51DDB6-9724-6D23-B168-3F31ACAA2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1188720</xdr:colOff>
      <xdr:row>8</xdr:row>
      <xdr:rowOff>148590</xdr:rowOff>
    </xdr:from>
    <xdr:to>
      <xdr:col>9</xdr:col>
      <xdr:colOff>396240</xdr:colOff>
      <xdr:row>23</xdr:row>
      <xdr:rowOff>148590</xdr:rowOff>
    </xdr:to>
    <xdr:graphicFrame macro="">
      <xdr:nvGraphicFramePr>
        <xdr:cNvPr id="2" name="Chart 1">
          <a:extLst>
            <a:ext uri="{FF2B5EF4-FFF2-40B4-BE49-F238E27FC236}">
              <a16:creationId xmlns:a16="http://schemas.microsoft.com/office/drawing/2014/main" id="{66DF8F73-1CDC-3CBB-7036-07E216117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ti tripathi" refreshedDate="46287.562650694446" createdVersion="8" refreshedVersion="8" minRefreshableVersion="3" recordCount="500" xr:uid="{0DD45640-3372-45B1-ACC1-17A4F1255026}">
  <cacheSource type="worksheet">
    <worksheetSource name="amazon_store_sales_2022__1"/>
  </cacheSource>
  <cacheFields count="18">
    <cacheField name="OrderID" numFmtId="0">
      <sharedItems containsSemiMixedTypes="0" containsString="0" containsNumber="1" containsInteger="1" minValue="10001" maxValue="10500"/>
    </cacheField>
    <cacheField name="OrderDate" numFmtId="14">
      <sharedItems containsSemiMixedTypes="0" containsNonDate="0" containsDate="1" containsString="0" minDate="2022-01-01T00:00:00" maxDate="2023-05-16T00:00:00" count="5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sharedItems>
      <fieldGroup par="17"/>
    </cacheField>
    <cacheField name="ProductID" numFmtId="0">
      <sharedItems containsSemiMixedTypes="0" containsString="0" containsNumber="1" containsInteger="1" minValue="2001" maxValue="2100"/>
    </cacheField>
    <cacheField name="ProductCategory" numFmtId="0">
      <sharedItems count="5">
        <s v="Books"/>
        <s v="Home &amp; Kitchen"/>
        <s v="Fashion"/>
        <s v="Beauty"/>
        <s v="Electronics"/>
      </sharedItems>
    </cacheField>
    <cacheField name="Quantity" numFmtId="0">
      <sharedItems containsSemiMixedTypes="0" containsString="0" containsNumber="1" containsInteger="1" minValue="1" maxValue="9"/>
    </cacheField>
    <cacheField name="UnitPrice" numFmtId="0">
      <sharedItems containsSemiMixedTypes="0" containsString="0" containsNumber="1" minValue="5.51" maxValue="497.76"/>
    </cacheField>
    <cacheField name="Discount" numFmtId="0">
      <sharedItems containsSemiMixedTypes="0" containsString="0" containsNumber="1" minValue="0" maxValue="0.3"/>
    </cacheField>
    <cacheField name="Region" numFmtId="0">
      <sharedItems count="5">
        <s v="Central"/>
        <s v="North"/>
        <s v="West"/>
        <s v="East"/>
        <s v="South"/>
      </sharedItems>
    </cacheField>
    <cacheField name="SalesChannel" numFmtId="0">
      <sharedItems count="2">
        <s v="Mobile App"/>
        <s v="Online"/>
      </sharedItems>
    </cacheField>
    <cacheField name="Total " numFmtId="0">
      <sharedItems containsSemiMixedTypes="0" containsString="0" containsNumber="1" minValue="9.49" maxValue="4479.84"/>
    </cacheField>
    <cacheField name="Total Discount" numFmtId="0">
      <sharedItems containsSemiMixedTypes="0" containsString="0" containsNumber="1" minValue="0" maxValue="1296.3869999999999"/>
    </cacheField>
    <cacheField name="Total Price" numFmtId="2">
      <sharedItems containsSemiMixedTypes="0" containsString="0" containsNumber="1" minValue="8.9206000000000003" maxValue="4283.5391999999993"/>
    </cacheField>
    <cacheField name="Year" numFmtId="0">
      <sharedItems containsSemiMixedTypes="0" containsString="0" containsNumber="1" containsInteger="1" minValue="2022" maxValue="2023" count="2">
        <n v="2022"/>
        <n v="2023"/>
      </sharedItems>
    </cacheField>
    <cacheField name="Sales Range" numFmtId="0">
      <sharedItems count="5">
        <s v="VeryHigh"/>
        <s v=" VeryLow"/>
        <s v="High"/>
        <s v="Medium"/>
        <s v="Low"/>
      </sharedItems>
    </cacheField>
    <cacheField name="DiscuntRange " numFmtId="0">
      <sharedItems count="3">
        <s v="Low"/>
        <s v="High"/>
        <s v="Medium"/>
      </sharedItems>
    </cacheField>
    <cacheField name="Months (OrderDate)" numFmtId="0" databaseField="0">
      <fieldGroup base="1">
        <rangePr groupBy="months" startDate="2022-01-01T00:00:00" endDate="2023-05-16T00:00:00"/>
        <groupItems count="14">
          <s v="&lt;01-01-2022"/>
          <s v="Jan"/>
          <s v="Feb"/>
          <s v="Mar"/>
          <s v="Apr"/>
          <s v="May"/>
          <s v="Jun"/>
          <s v="Jul"/>
          <s v="Aug"/>
          <s v="Sep"/>
          <s v="Oct"/>
          <s v="Nov"/>
          <s v="Dec"/>
          <s v="&gt;16-05-2023"/>
        </groupItems>
      </fieldGroup>
    </cacheField>
    <cacheField name="Quarters (OrderDate)" numFmtId="0" databaseField="0">
      <fieldGroup base="1">
        <rangePr groupBy="quarters" startDate="2022-01-01T00:00:00" endDate="2023-05-16T00:00:00"/>
        <groupItems count="6">
          <s v="&lt;01-01-2022"/>
          <s v="Qtr1"/>
          <s v="Qtr2"/>
          <s v="Qtr3"/>
          <s v="Qtr4"/>
          <s v="&gt;16-05-2023"/>
        </groupItems>
      </fieldGroup>
    </cacheField>
    <cacheField name="Years (OrderDate)" numFmtId="0" databaseField="0">
      <fieldGroup base="1">
        <rangePr groupBy="years" startDate="2022-01-01T00:00:00" endDate="2023-05-16T00:00:00"/>
        <groupItems count="4">
          <s v="&lt;01-01-2022"/>
          <s v="2022"/>
          <s v="2023"/>
          <s v="&gt;16-05-2023"/>
        </groupItems>
      </fieldGroup>
    </cacheField>
  </cacheFields>
  <extLst>
    <ext xmlns:x14="http://schemas.microsoft.com/office/spreadsheetml/2009/9/main" uri="{725AE2AE-9491-48be-B2B4-4EB974FC3084}">
      <x14:pivotCacheDefinition pivotCacheId="872638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01"/>
    <x v="0"/>
    <n v="2052"/>
    <x v="0"/>
    <n v="9"/>
    <n v="495.78"/>
    <n v="0.04"/>
    <x v="0"/>
    <x v="0"/>
    <n v="4462.0199999999995"/>
    <n v="178.48079999999999"/>
    <n v="4283.5391999999993"/>
    <x v="0"/>
    <x v="0"/>
    <x v="0"/>
  </r>
  <r>
    <n v="10002"/>
    <x v="1"/>
    <n v="2093"/>
    <x v="1"/>
    <n v="8"/>
    <n v="35.450000000000003"/>
    <n v="0.28999999999999998"/>
    <x v="1"/>
    <x v="0"/>
    <n v="283.60000000000002"/>
    <n v="82.244"/>
    <n v="201.35600000000002"/>
    <x v="0"/>
    <x v="1"/>
    <x v="1"/>
  </r>
  <r>
    <n v="10003"/>
    <x v="2"/>
    <n v="2015"/>
    <x v="2"/>
    <n v="6"/>
    <n v="442.04"/>
    <n v="0.01"/>
    <x v="2"/>
    <x v="0"/>
    <n v="2652.2400000000002"/>
    <n v="26.522400000000005"/>
    <n v="2625.7176000000004"/>
    <x v="0"/>
    <x v="2"/>
    <x v="0"/>
  </r>
  <r>
    <n v="10004"/>
    <x v="3"/>
    <n v="2072"/>
    <x v="3"/>
    <n v="7"/>
    <n v="260.45999999999998"/>
    <n v="0.22"/>
    <x v="3"/>
    <x v="1"/>
    <n v="1823.2199999999998"/>
    <n v="401.10839999999996"/>
    <n v="1422.1115999999997"/>
    <x v="0"/>
    <x v="3"/>
    <x v="1"/>
  </r>
  <r>
    <n v="10005"/>
    <x v="4"/>
    <n v="2061"/>
    <x v="4"/>
    <n v="3"/>
    <n v="453.72"/>
    <n v="0.23"/>
    <x v="1"/>
    <x v="1"/>
    <n v="1361.16"/>
    <n v="313.06680000000006"/>
    <n v="1048.0932"/>
    <x v="0"/>
    <x v="3"/>
    <x v="1"/>
  </r>
  <r>
    <n v="10006"/>
    <x v="5"/>
    <n v="2021"/>
    <x v="3"/>
    <n v="1"/>
    <n v="287.8"/>
    <n v="7.0000000000000007E-2"/>
    <x v="2"/>
    <x v="0"/>
    <n v="287.8"/>
    <n v="20.146000000000004"/>
    <n v="267.654"/>
    <x v="0"/>
    <x v="1"/>
    <x v="0"/>
  </r>
  <r>
    <n v="10007"/>
    <x v="6"/>
    <n v="2083"/>
    <x v="0"/>
    <n v="5"/>
    <n v="332.75"/>
    <n v="0.2"/>
    <x v="1"/>
    <x v="1"/>
    <n v="1663.75"/>
    <n v="332.75"/>
    <n v="1331"/>
    <x v="0"/>
    <x v="3"/>
    <x v="1"/>
  </r>
  <r>
    <n v="10008"/>
    <x v="7"/>
    <n v="2087"/>
    <x v="3"/>
    <n v="2"/>
    <n v="274.17"/>
    <n v="0.03"/>
    <x v="1"/>
    <x v="1"/>
    <n v="548.34"/>
    <n v="16.450199999999999"/>
    <n v="531.88980000000004"/>
    <x v="0"/>
    <x v="4"/>
    <x v="0"/>
  </r>
  <r>
    <n v="10009"/>
    <x v="8"/>
    <n v="2075"/>
    <x v="4"/>
    <n v="5"/>
    <n v="432.92"/>
    <n v="0.08"/>
    <x v="0"/>
    <x v="0"/>
    <n v="2164.6"/>
    <n v="173.16800000000001"/>
    <n v="1991.4319999999998"/>
    <x v="0"/>
    <x v="3"/>
    <x v="0"/>
  </r>
  <r>
    <n v="10010"/>
    <x v="9"/>
    <n v="2075"/>
    <x v="0"/>
    <n v="8"/>
    <n v="368.29"/>
    <n v="0.24"/>
    <x v="2"/>
    <x v="0"/>
    <n v="2946.32"/>
    <n v="707.11680000000001"/>
    <n v="2239.2031999999999"/>
    <x v="0"/>
    <x v="2"/>
    <x v="1"/>
  </r>
  <r>
    <n v="10011"/>
    <x v="10"/>
    <n v="2088"/>
    <x v="3"/>
    <n v="9"/>
    <n v="263.02"/>
    <n v="0.26"/>
    <x v="3"/>
    <x v="1"/>
    <n v="2367.1799999999998"/>
    <n v="615.46680000000003"/>
    <n v="1751.7131999999997"/>
    <x v="0"/>
    <x v="3"/>
    <x v="1"/>
  </r>
  <r>
    <n v="10012"/>
    <x v="11"/>
    <n v="2100"/>
    <x v="0"/>
    <n v="2"/>
    <n v="434.74"/>
    <n v="0.18"/>
    <x v="3"/>
    <x v="1"/>
    <n v="869.48"/>
    <n v="156.50639999999999"/>
    <n v="712.97360000000003"/>
    <x v="0"/>
    <x v="4"/>
    <x v="2"/>
  </r>
  <r>
    <n v="10013"/>
    <x v="12"/>
    <n v="2024"/>
    <x v="1"/>
    <n v="3"/>
    <n v="126.42"/>
    <n v="0.15"/>
    <x v="2"/>
    <x v="0"/>
    <n v="379.26"/>
    <n v="56.888999999999996"/>
    <n v="322.37099999999998"/>
    <x v="0"/>
    <x v="1"/>
    <x v="2"/>
  </r>
  <r>
    <n v="10014"/>
    <x v="13"/>
    <n v="2003"/>
    <x v="1"/>
    <n v="3"/>
    <n v="82.88"/>
    <n v="0.05"/>
    <x v="0"/>
    <x v="1"/>
    <n v="248.64"/>
    <n v="12.432"/>
    <n v="236.208"/>
    <x v="0"/>
    <x v="1"/>
    <x v="0"/>
  </r>
  <r>
    <n v="10015"/>
    <x v="14"/>
    <n v="2022"/>
    <x v="3"/>
    <n v="1"/>
    <n v="84.4"/>
    <n v="0.02"/>
    <x v="4"/>
    <x v="1"/>
    <n v="84.4"/>
    <n v="1.6880000000000002"/>
    <n v="82.712000000000003"/>
    <x v="0"/>
    <x v="1"/>
    <x v="0"/>
  </r>
  <r>
    <n v="10016"/>
    <x v="15"/>
    <n v="2053"/>
    <x v="0"/>
    <n v="8"/>
    <n v="170.33"/>
    <n v="0.04"/>
    <x v="1"/>
    <x v="0"/>
    <n v="1362.64"/>
    <n v="54.505600000000008"/>
    <n v="1308.1344000000001"/>
    <x v="0"/>
    <x v="3"/>
    <x v="0"/>
  </r>
  <r>
    <n v="10017"/>
    <x v="16"/>
    <n v="2002"/>
    <x v="4"/>
    <n v="6"/>
    <n v="123.15"/>
    <n v="7.0000000000000007E-2"/>
    <x v="0"/>
    <x v="0"/>
    <n v="738.90000000000009"/>
    <n v="51.723000000000013"/>
    <n v="687.17700000000013"/>
    <x v="0"/>
    <x v="4"/>
    <x v="0"/>
  </r>
  <r>
    <n v="10018"/>
    <x v="17"/>
    <n v="2088"/>
    <x v="3"/>
    <n v="8"/>
    <n v="465.39"/>
    <n v="0.1"/>
    <x v="2"/>
    <x v="1"/>
    <n v="3723.12"/>
    <n v="372.31200000000001"/>
    <n v="3350.808"/>
    <x v="0"/>
    <x v="0"/>
    <x v="2"/>
  </r>
  <r>
    <n v="10019"/>
    <x v="18"/>
    <n v="2030"/>
    <x v="1"/>
    <n v="9"/>
    <n v="57.39"/>
    <n v="0.11"/>
    <x v="1"/>
    <x v="1"/>
    <n v="516.51"/>
    <n v="56.816099999999999"/>
    <n v="459.69389999999999"/>
    <x v="0"/>
    <x v="1"/>
    <x v="2"/>
  </r>
  <r>
    <n v="10020"/>
    <x v="19"/>
    <n v="2038"/>
    <x v="1"/>
    <n v="5"/>
    <n v="351"/>
    <n v="0.1"/>
    <x v="3"/>
    <x v="1"/>
    <n v="1755"/>
    <n v="175.5"/>
    <n v="1579.5"/>
    <x v="0"/>
    <x v="3"/>
    <x v="2"/>
  </r>
  <r>
    <n v="10021"/>
    <x v="20"/>
    <n v="2002"/>
    <x v="3"/>
    <n v="3"/>
    <n v="98.66"/>
    <n v="7.0000000000000007E-2"/>
    <x v="4"/>
    <x v="0"/>
    <n v="295.98"/>
    <n v="20.718600000000002"/>
    <n v="275.26140000000004"/>
    <x v="0"/>
    <x v="1"/>
    <x v="0"/>
  </r>
  <r>
    <n v="10022"/>
    <x v="21"/>
    <n v="2064"/>
    <x v="0"/>
    <n v="5"/>
    <n v="441.41"/>
    <n v="0.15"/>
    <x v="3"/>
    <x v="1"/>
    <n v="2207.0500000000002"/>
    <n v="331.0575"/>
    <n v="1875.9925000000003"/>
    <x v="0"/>
    <x v="3"/>
    <x v="2"/>
  </r>
  <r>
    <n v="10023"/>
    <x v="22"/>
    <n v="2060"/>
    <x v="1"/>
    <n v="5"/>
    <n v="480.85"/>
    <n v="0.25"/>
    <x v="2"/>
    <x v="1"/>
    <n v="2404.25"/>
    <n v="601.0625"/>
    <n v="1803.1875"/>
    <x v="0"/>
    <x v="3"/>
    <x v="1"/>
  </r>
  <r>
    <n v="10024"/>
    <x v="23"/>
    <n v="2021"/>
    <x v="0"/>
    <n v="5"/>
    <n v="235.41"/>
    <n v="0.08"/>
    <x v="1"/>
    <x v="0"/>
    <n v="1177.05"/>
    <n v="94.164000000000001"/>
    <n v="1082.886"/>
    <x v="0"/>
    <x v="3"/>
    <x v="0"/>
  </r>
  <r>
    <n v="10025"/>
    <x v="24"/>
    <n v="2033"/>
    <x v="1"/>
    <n v="3"/>
    <n v="440.14"/>
    <n v="0.28000000000000003"/>
    <x v="2"/>
    <x v="0"/>
    <n v="1320.42"/>
    <n v="369.71760000000006"/>
    <n v="950.70240000000001"/>
    <x v="0"/>
    <x v="4"/>
    <x v="1"/>
  </r>
  <r>
    <n v="10026"/>
    <x v="25"/>
    <n v="2076"/>
    <x v="1"/>
    <n v="4"/>
    <n v="7.55"/>
    <n v="0.26"/>
    <x v="1"/>
    <x v="1"/>
    <n v="30.2"/>
    <n v="7.8520000000000003"/>
    <n v="22.347999999999999"/>
    <x v="0"/>
    <x v="1"/>
    <x v="1"/>
  </r>
  <r>
    <n v="10027"/>
    <x v="26"/>
    <n v="2058"/>
    <x v="2"/>
    <n v="9"/>
    <n v="410.87"/>
    <n v="0.05"/>
    <x v="0"/>
    <x v="0"/>
    <n v="3697.83"/>
    <n v="184.89150000000001"/>
    <n v="3512.9384999999997"/>
    <x v="0"/>
    <x v="0"/>
    <x v="0"/>
  </r>
  <r>
    <n v="10028"/>
    <x v="27"/>
    <n v="2022"/>
    <x v="1"/>
    <n v="9"/>
    <n v="118.17"/>
    <n v="0.24"/>
    <x v="4"/>
    <x v="0"/>
    <n v="1063.53"/>
    <n v="255.24719999999999"/>
    <n v="808.28279999999995"/>
    <x v="0"/>
    <x v="4"/>
    <x v="1"/>
  </r>
  <r>
    <n v="10029"/>
    <x v="28"/>
    <n v="2089"/>
    <x v="4"/>
    <n v="2"/>
    <n v="454.81"/>
    <n v="0.17"/>
    <x v="0"/>
    <x v="1"/>
    <n v="909.62"/>
    <n v="154.6354"/>
    <n v="754.9846"/>
    <x v="0"/>
    <x v="4"/>
    <x v="2"/>
  </r>
  <r>
    <n v="10030"/>
    <x v="29"/>
    <n v="2049"/>
    <x v="3"/>
    <n v="8"/>
    <n v="5.55"/>
    <n v="0.17"/>
    <x v="0"/>
    <x v="0"/>
    <n v="44.4"/>
    <n v="7.548"/>
    <n v="36.851999999999997"/>
    <x v="0"/>
    <x v="1"/>
    <x v="2"/>
  </r>
  <r>
    <n v="10031"/>
    <x v="30"/>
    <n v="2091"/>
    <x v="3"/>
    <n v="8"/>
    <n v="280.31"/>
    <n v="0.12"/>
    <x v="2"/>
    <x v="0"/>
    <n v="2242.48"/>
    <n v="269.0976"/>
    <n v="1973.3824"/>
    <x v="0"/>
    <x v="3"/>
    <x v="2"/>
  </r>
  <r>
    <n v="10032"/>
    <x v="31"/>
    <n v="2059"/>
    <x v="0"/>
    <n v="7"/>
    <n v="379.53"/>
    <n v="0.15"/>
    <x v="4"/>
    <x v="1"/>
    <n v="2656.71"/>
    <n v="398.50650000000002"/>
    <n v="2258.2035000000001"/>
    <x v="0"/>
    <x v="2"/>
    <x v="2"/>
  </r>
  <r>
    <n v="10033"/>
    <x v="32"/>
    <n v="2042"/>
    <x v="1"/>
    <n v="8"/>
    <n v="133.05000000000001"/>
    <n v="0.12"/>
    <x v="1"/>
    <x v="0"/>
    <n v="1064.4000000000001"/>
    <n v="127.72800000000001"/>
    <n v="936.67200000000003"/>
    <x v="0"/>
    <x v="4"/>
    <x v="2"/>
  </r>
  <r>
    <n v="10034"/>
    <x v="33"/>
    <n v="2092"/>
    <x v="4"/>
    <n v="3"/>
    <n v="100.6"/>
    <n v="0.16"/>
    <x v="1"/>
    <x v="1"/>
    <n v="301.79999999999995"/>
    <n v="48.287999999999997"/>
    <n v="253.51199999999994"/>
    <x v="0"/>
    <x v="1"/>
    <x v="2"/>
  </r>
  <r>
    <n v="10035"/>
    <x v="34"/>
    <n v="2060"/>
    <x v="0"/>
    <n v="6"/>
    <n v="46.63"/>
    <n v="0.19"/>
    <x v="3"/>
    <x v="1"/>
    <n v="279.78000000000003"/>
    <n v="53.158200000000008"/>
    <n v="226.62180000000001"/>
    <x v="0"/>
    <x v="1"/>
    <x v="2"/>
  </r>
  <r>
    <n v="10036"/>
    <x v="35"/>
    <n v="2080"/>
    <x v="2"/>
    <n v="1"/>
    <n v="166.58"/>
    <n v="0.2"/>
    <x v="1"/>
    <x v="0"/>
    <n v="166.58"/>
    <n v="33.316000000000003"/>
    <n v="133.26400000000001"/>
    <x v="0"/>
    <x v="1"/>
    <x v="1"/>
  </r>
  <r>
    <n v="10037"/>
    <x v="36"/>
    <n v="2015"/>
    <x v="0"/>
    <n v="7"/>
    <n v="282.12"/>
    <n v="0.16"/>
    <x v="2"/>
    <x v="0"/>
    <n v="1974.8400000000001"/>
    <n v="315.9744"/>
    <n v="1658.8656000000001"/>
    <x v="0"/>
    <x v="3"/>
    <x v="2"/>
  </r>
  <r>
    <n v="10038"/>
    <x v="37"/>
    <n v="2062"/>
    <x v="0"/>
    <n v="1"/>
    <n v="62.34"/>
    <n v="0.22"/>
    <x v="0"/>
    <x v="0"/>
    <n v="62.34"/>
    <n v="13.7148"/>
    <n v="48.625200000000007"/>
    <x v="0"/>
    <x v="1"/>
    <x v="1"/>
  </r>
  <r>
    <n v="10039"/>
    <x v="38"/>
    <n v="2062"/>
    <x v="1"/>
    <n v="9"/>
    <n v="191.46"/>
    <n v="0.04"/>
    <x v="0"/>
    <x v="1"/>
    <n v="1723.14"/>
    <n v="68.925600000000003"/>
    <n v="1654.2144000000001"/>
    <x v="0"/>
    <x v="3"/>
    <x v="0"/>
  </r>
  <r>
    <n v="10040"/>
    <x v="39"/>
    <n v="2047"/>
    <x v="2"/>
    <n v="1"/>
    <n v="9.49"/>
    <n v="0.06"/>
    <x v="0"/>
    <x v="0"/>
    <n v="9.49"/>
    <n v="0.56940000000000002"/>
    <n v="8.9206000000000003"/>
    <x v="0"/>
    <x v="1"/>
    <x v="0"/>
  </r>
  <r>
    <n v="10041"/>
    <x v="40"/>
    <n v="2062"/>
    <x v="0"/>
    <n v="1"/>
    <n v="410.25"/>
    <n v="0.25"/>
    <x v="4"/>
    <x v="1"/>
    <n v="410.25"/>
    <n v="102.5625"/>
    <n v="307.6875"/>
    <x v="0"/>
    <x v="1"/>
    <x v="1"/>
  </r>
  <r>
    <n v="10042"/>
    <x v="41"/>
    <n v="2051"/>
    <x v="4"/>
    <n v="7"/>
    <n v="68.58"/>
    <n v="0.1"/>
    <x v="1"/>
    <x v="0"/>
    <n v="480.06"/>
    <n v="48.006"/>
    <n v="432.05399999999997"/>
    <x v="0"/>
    <x v="1"/>
    <x v="2"/>
  </r>
  <r>
    <n v="10043"/>
    <x v="42"/>
    <n v="2055"/>
    <x v="4"/>
    <n v="2"/>
    <n v="145.25"/>
    <n v="0.01"/>
    <x v="2"/>
    <x v="0"/>
    <n v="290.5"/>
    <n v="2.9050000000000002"/>
    <n v="287.59500000000003"/>
    <x v="0"/>
    <x v="1"/>
    <x v="0"/>
  </r>
  <r>
    <n v="10044"/>
    <x v="43"/>
    <n v="2064"/>
    <x v="3"/>
    <n v="5"/>
    <n v="14.12"/>
    <n v="0.05"/>
    <x v="4"/>
    <x v="0"/>
    <n v="70.599999999999994"/>
    <n v="3.53"/>
    <n v="67.069999999999993"/>
    <x v="0"/>
    <x v="1"/>
    <x v="0"/>
  </r>
  <r>
    <n v="10045"/>
    <x v="44"/>
    <n v="2003"/>
    <x v="2"/>
    <n v="8"/>
    <n v="218.96"/>
    <n v="7.0000000000000007E-2"/>
    <x v="3"/>
    <x v="1"/>
    <n v="1751.68"/>
    <n v="122.61760000000001"/>
    <n v="1629.0624"/>
    <x v="0"/>
    <x v="3"/>
    <x v="0"/>
  </r>
  <r>
    <n v="10046"/>
    <x v="45"/>
    <n v="2051"/>
    <x v="2"/>
    <n v="8"/>
    <n v="420.86"/>
    <n v="0.28999999999999998"/>
    <x v="2"/>
    <x v="0"/>
    <n v="3366.88"/>
    <n v="976.39519999999993"/>
    <n v="2390.4848000000002"/>
    <x v="0"/>
    <x v="2"/>
    <x v="1"/>
  </r>
  <r>
    <n v="10047"/>
    <x v="46"/>
    <n v="2007"/>
    <x v="3"/>
    <n v="3"/>
    <n v="199.11"/>
    <n v="0.17"/>
    <x v="2"/>
    <x v="0"/>
    <n v="597.33000000000004"/>
    <n v="101.54610000000001"/>
    <n v="495.78390000000002"/>
    <x v="0"/>
    <x v="1"/>
    <x v="2"/>
  </r>
  <r>
    <n v="10048"/>
    <x v="47"/>
    <n v="2021"/>
    <x v="0"/>
    <n v="7"/>
    <n v="93.85"/>
    <n v="0.28000000000000003"/>
    <x v="2"/>
    <x v="1"/>
    <n v="656.94999999999993"/>
    <n v="183.946"/>
    <n v="473.00399999999991"/>
    <x v="0"/>
    <x v="1"/>
    <x v="1"/>
  </r>
  <r>
    <n v="10049"/>
    <x v="48"/>
    <n v="2073"/>
    <x v="2"/>
    <n v="3"/>
    <n v="378.08"/>
    <n v="0.17"/>
    <x v="0"/>
    <x v="1"/>
    <n v="1134.24"/>
    <n v="192.82080000000002"/>
    <n v="941.41920000000005"/>
    <x v="0"/>
    <x v="4"/>
    <x v="2"/>
  </r>
  <r>
    <n v="10050"/>
    <x v="49"/>
    <n v="2039"/>
    <x v="4"/>
    <n v="6"/>
    <n v="395.46"/>
    <n v="0.14000000000000001"/>
    <x v="2"/>
    <x v="0"/>
    <n v="2372.7599999999998"/>
    <n v="332.18639999999999"/>
    <n v="2040.5735999999997"/>
    <x v="0"/>
    <x v="2"/>
    <x v="2"/>
  </r>
  <r>
    <n v="10051"/>
    <x v="50"/>
    <n v="2018"/>
    <x v="4"/>
    <n v="6"/>
    <n v="91.01"/>
    <n v="0.09"/>
    <x v="1"/>
    <x v="0"/>
    <n v="546.06000000000006"/>
    <n v="49.145400000000002"/>
    <n v="496.91460000000006"/>
    <x v="0"/>
    <x v="1"/>
    <x v="2"/>
  </r>
  <r>
    <n v="10052"/>
    <x v="51"/>
    <n v="2004"/>
    <x v="1"/>
    <n v="3"/>
    <n v="386.57"/>
    <n v="0.18"/>
    <x v="2"/>
    <x v="0"/>
    <n v="1159.71"/>
    <n v="208.74780000000001"/>
    <n v="950.96220000000005"/>
    <x v="0"/>
    <x v="4"/>
    <x v="2"/>
  </r>
  <r>
    <n v="10053"/>
    <x v="52"/>
    <n v="2089"/>
    <x v="2"/>
    <n v="7"/>
    <n v="473.91"/>
    <n v="0.04"/>
    <x v="0"/>
    <x v="1"/>
    <n v="3317.3700000000003"/>
    <n v="132.69480000000001"/>
    <n v="3184.6752000000001"/>
    <x v="0"/>
    <x v="0"/>
    <x v="0"/>
  </r>
  <r>
    <n v="10054"/>
    <x v="53"/>
    <n v="2060"/>
    <x v="0"/>
    <n v="3"/>
    <n v="87.36"/>
    <n v="0.27"/>
    <x v="2"/>
    <x v="1"/>
    <n v="262.08"/>
    <n v="70.761600000000001"/>
    <n v="191.3184"/>
    <x v="0"/>
    <x v="1"/>
    <x v="1"/>
  </r>
  <r>
    <n v="10055"/>
    <x v="54"/>
    <n v="2014"/>
    <x v="3"/>
    <n v="8"/>
    <n v="386.64"/>
    <n v="0.25"/>
    <x v="3"/>
    <x v="1"/>
    <n v="3093.12"/>
    <n v="773.28"/>
    <n v="2319.84"/>
    <x v="0"/>
    <x v="2"/>
    <x v="1"/>
  </r>
  <r>
    <n v="10056"/>
    <x v="55"/>
    <n v="2009"/>
    <x v="3"/>
    <n v="4"/>
    <n v="355.74"/>
    <n v="0.1"/>
    <x v="3"/>
    <x v="1"/>
    <n v="1422.96"/>
    <n v="142.29600000000002"/>
    <n v="1280.664"/>
    <x v="0"/>
    <x v="3"/>
    <x v="2"/>
  </r>
  <r>
    <n v="10057"/>
    <x v="56"/>
    <n v="2090"/>
    <x v="0"/>
    <n v="1"/>
    <n v="239.42"/>
    <n v="0.28999999999999998"/>
    <x v="0"/>
    <x v="0"/>
    <n v="239.42"/>
    <n v="69.431799999999996"/>
    <n v="169.98820000000001"/>
    <x v="0"/>
    <x v="1"/>
    <x v="1"/>
  </r>
  <r>
    <n v="10058"/>
    <x v="57"/>
    <n v="2053"/>
    <x v="1"/>
    <n v="4"/>
    <n v="33.67"/>
    <n v="0.25"/>
    <x v="1"/>
    <x v="1"/>
    <n v="134.68"/>
    <n v="33.67"/>
    <n v="101.01"/>
    <x v="0"/>
    <x v="1"/>
    <x v="1"/>
  </r>
  <r>
    <n v="10059"/>
    <x v="58"/>
    <n v="2002"/>
    <x v="3"/>
    <n v="7"/>
    <n v="41.97"/>
    <n v="0.2"/>
    <x v="1"/>
    <x v="1"/>
    <n v="293.78999999999996"/>
    <n v="58.757999999999996"/>
    <n v="235.03199999999998"/>
    <x v="0"/>
    <x v="1"/>
    <x v="1"/>
  </r>
  <r>
    <n v="10060"/>
    <x v="59"/>
    <n v="2084"/>
    <x v="2"/>
    <n v="4"/>
    <n v="426.95"/>
    <n v="0.04"/>
    <x v="4"/>
    <x v="1"/>
    <n v="1707.8"/>
    <n v="68.311999999999998"/>
    <n v="1639.4880000000001"/>
    <x v="0"/>
    <x v="3"/>
    <x v="0"/>
  </r>
  <r>
    <n v="10061"/>
    <x v="60"/>
    <n v="2092"/>
    <x v="1"/>
    <n v="6"/>
    <n v="495.12"/>
    <n v="0.14000000000000001"/>
    <x v="0"/>
    <x v="0"/>
    <n v="2970.7200000000003"/>
    <n v="415.90080000000006"/>
    <n v="2554.8192000000004"/>
    <x v="0"/>
    <x v="2"/>
    <x v="2"/>
  </r>
  <r>
    <n v="10062"/>
    <x v="61"/>
    <n v="2060"/>
    <x v="2"/>
    <n v="9"/>
    <n v="339.65"/>
    <n v="0.15"/>
    <x v="2"/>
    <x v="0"/>
    <n v="3056.85"/>
    <n v="458.52749999999997"/>
    <n v="2598.3224999999998"/>
    <x v="0"/>
    <x v="2"/>
    <x v="2"/>
  </r>
  <r>
    <n v="10063"/>
    <x v="62"/>
    <n v="2071"/>
    <x v="4"/>
    <n v="1"/>
    <n v="225.75"/>
    <n v="7.0000000000000007E-2"/>
    <x v="0"/>
    <x v="1"/>
    <n v="225.75"/>
    <n v="15.802500000000002"/>
    <n v="209.94749999999999"/>
    <x v="0"/>
    <x v="1"/>
    <x v="0"/>
  </r>
  <r>
    <n v="10064"/>
    <x v="63"/>
    <n v="2044"/>
    <x v="1"/>
    <n v="5"/>
    <n v="325.55"/>
    <n v="0.02"/>
    <x v="4"/>
    <x v="1"/>
    <n v="1627.75"/>
    <n v="32.555"/>
    <n v="1595.1949999999999"/>
    <x v="0"/>
    <x v="3"/>
    <x v="0"/>
  </r>
  <r>
    <n v="10065"/>
    <x v="64"/>
    <n v="2008"/>
    <x v="3"/>
    <n v="7"/>
    <n v="299.23"/>
    <n v="0.23"/>
    <x v="0"/>
    <x v="0"/>
    <n v="2094.61"/>
    <n v="481.76030000000003"/>
    <n v="1612.8497000000002"/>
    <x v="0"/>
    <x v="3"/>
    <x v="1"/>
  </r>
  <r>
    <n v="10066"/>
    <x v="65"/>
    <n v="2047"/>
    <x v="1"/>
    <n v="1"/>
    <n v="194.89"/>
    <n v="0.04"/>
    <x v="0"/>
    <x v="0"/>
    <n v="194.89"/>
    <n v="7.7955999999999994"/>
    <n v="187.09439999999998"/>
    <x v="0"/>
    <x v="1"/>
    <x v="0"/>
  </r>
  <r>
    <n v="10067"/>
    <x v="66"/>
    <n v="2035"/>
    <x v="1"/>
    <n v="4"/>
    <n v="37.479999999999997"/>
    <n v="0.18"/>
    <x v="4"/>
    <x v="0"/>
    <n v="149.91999999999999"/>
    <n v="26.985599999999998"/>
    <n v="122.93439999999998"/>
    <x v="0"/>
    <x v="1"/>
    <x v="2"/>
  </r>
  <r>
    <n v="10068"/>
    <x v="67"/>
    <n v="2078"/>
    <x v="1"/>
    <n v="6"/>
    <n v="411.65"/>
    <n v="0.28000000000000003"/>
    <x v="1"/>
    <x v="0"/>
    <n v="2469.8999999999996"/>
    <n v="691.572"/>
    <n v="1778.3279999999995"/>
    <x v="0"/>
    <x v="3"/>
    <x v="1"/>
  </r>
  <r>
    <n v="10069"/>
    <x v="68"/>
    <n v="2081"/>
    <x v="1"/>
    <n v="2"/>
    <n v="189.06"/>
    <n v="0.26"/>
    <x v="2"/>
    <x v="0"/>
    <n v="378.12"/>
    <n v="98.311199999999999"/>
    <n v="279.80880000000002"/>
    <x v="0"/>
    <x v="1"/>
    <x v="1"/>
  </r>
  <r>
    <n v="10070"/>
    <x v="69"/>
    <n v="2036"/>
    <x v="2"/>
    <n v="5"/>
    <n v="410.3"/>
    <n v="0.08"/>
    <x v="4"/>
    <x v="0"/>
    <n v="2051.5"/>
    <n v="164.12"/>
    <n v="1887.38"/>
    <x v="0"/>
    <x v="3"/>
    <x v="0"/>
  </r>
  <r>
    <n v="10071"/>
    <x v="70"/>
    <n v="2050"/>
    <x v="4"/>
    <n v="1"/>
    <n v="129.99"/>
    <n v="0.26"/>
    <x v="3"/>
    <x v="0"/>
    <n v="129.99"/>
    <n v="33.797400000000003"/>
    <n v="96.192599999999999"/>
    <x v="0"/>
    <x v="1"/>
    <x v="1"/>
  </r>
  <r>
    <n v="10072"/>
    <x v="71"/>
    <n v="2004"/>
    <x v="0"/>
    <n v="6"/>
    <n v="5.51"/>
    <n v="0"/>
    <x v="1"/>
    <x v="0"/>
    <n v="33.06"/>
    <n v="0"/>
    <n v="33.06"/>
    <x v="0"/>
    <x v="1"/>
    <x v="0"/>
  </r>
  <r>
    <n v="10073"/>
    <x v="72"/>
    <n v="2002"/>
    <x v="1"/>
    <n v="6"/>
    <n v="83.67"/>
    <n v="0.01"/>
    <x v="3"/>
    <x v="1"/>
    <n v="502.02"/>
    <n v="5.0202"/>
    <n v="496.99979999999999"/>
    <x v="0"/>
    <x v="1"/>
    <x v="0"/>
  </r>
  <r>
    <n v="10074"/>
    <x v="73"/>
    <n v="2006"/>
    <x v="3"/>
    <n v="4"/>
    <n v="236.93"/>
    <n v="0.18"/>
    <x v="1"/>
    <x v="1"/>
    <n v="947.72"/>
    <n v="170.58959999999999"/>
    <n v="777.13040000000001"/>
    <x v="0"/>
    <x v="4"/>
    <x v="2"/>
  </r>
  <r>
    <n v="10075"/>
    <x v="74"/>
    <n v="2054"/>
    <x v="1"/>
    <n v="8"/>
    <n v="472.43"/>
    <n v="0.11"/>
    <x v="2"/>
    <x v="1"/>
    <n v="3779.44"/>
    <n v="415.73840000000001"/>
    <n v="3363.7015999999999"/>
    <x v="0"/>
    <x v="0"/>
    <x v="2"/>
  </r>
  <r>
    <n v="10076"/>
    <x v="75"/>
    <n v="2004"/>
    <x v="3"/>
    <n v="4"/>
    <n v="55.59"/>
    <n v="0.12"/>
    <x v="2"/>
    <x v="1"/>
    <n v="222.36"/>
    <n v="26.683199999999999"/>
    <n v="195.67680000000001"/>
    <x v="0"/>
    <x v="1"/>
    <x v="2"/>
  </r>
  <r>
    <n v="10077"/>
    <x v="76"/>
    <n v="2054"/>
    <x v="2"/>
    <n v="8"/>
    <n v="427.83"/>
    <n v="0.17"/>
    <x v="0"/>
    <x v="1"/>
    <n v="3422.64"/>
    <n v="581.84879999999998"/>
    <n v="2840.7911999999997"/>
    <x v="0"/>
    <x v="2"/>
    <x v="2"/>
  </r>
  <r>
    <n v="10078"/>
    <x v="77"/>
    <n v="2093"/>
    <x v="3"/>
    <n v="8"/>
    <n v="265.88"/>
    <n v="0.06"/>
    <x v="3"/>
    <x v="1"/>
    <n v="2127.04"/>
    <n v="127.6224"/>
    <n v="1999.4176"/>
    <x v="0"/>
    <x v="3"/>
    <x v="0"/>
  </r>
  <r>
    <n v="10079"/>
    <x v="78"/>
    <n v="2063"/>
    <x v="0"/>
    <n v="5"/>
    <n v="413.83"/>
    <n v="0.06"/>
    <x v="1"/>
    <x v="0"/>
    <n v="2069.15"/>
    <n v="124.149"/>
    <n v="1945.0010000000002"/>
    <x v="0"/>
    <x v="3"/>
    <x v="0"/>
  </r>
  <r>
    <n v="10080"/>
    <x v="79"/>
    <n v="2018"/>
    <x v="4"/>
    <n v="4"/>
    <n v="152.69999999999999"/>
    <n v="0.15"/>
    <x v="2"/>
    <x v="0"/>
    <n v="610.79999999999995"/>
    <n v="91.61999999999999"/>
    <n v="519.17999999999995"/>
    <x v="0"/>
    <x v="4"/>
    <x v="2"/>
  </r>
  <r>
    <n v="10081"/>
    <x v="80"/>
    <n v="2090"/>
    <x v="3"/>
    <n v="2"/>
    <n v="420.77"/>
    <n v="0.23"/>
    <x v="4"/>
    <x v="1"/>
    <n v="841.54"/>
    <n v="193.55420000000001"/>
    <n v="647.98579999999993"/>
    <x v="0"/>
    <x v="4"/>
    <x v="1"/>
  </r>
  <r>
    <n v="10082"/>
    <x v="81"/>
    <n v="2044"/>
    <x v="3"/>
    <n v="3"/>
    <n v="387.55"/>
    <n v="0.19"/>
    <x v="2"/>
    <x v="1"/>
    <n v="1162.6500000000001"/>
    <n v="220.90350000000001"/>
    <n v="941.74650000000008"/>
    <x v="0"/>
    <x v="4"/>
    <x v="2"/>
  </r>
  <r>
    <n v="10083"/>
    <x v="82"/>
    <n v="2034"/>
    <x v="4"/>
    <n v="3"/>
    <n v="118.88"/>
    <n v="0.09"/>
    <x v="4"/>
    <x v="0"/>
    <n v="356.64"/>
    <n v="32.0976"/>
    <n v="324.54239999999999"/>
    <x v="0"/>
    <x v="1"/>
    <x v="2"/>
  </r>
  <r>
    <n v="10084"/>
    <x v="83"/>
    <n v="2074"/>
    <x v="0"/>
    <n v="4"/>
    <n v="70.010000000000005"/>
    <n v="0.13"/>
    <x v="1"/>
    <x v="0"/>
    <n v="280.04000000000002"/>
    <n v="36.405200000000001"/>
    <n v="243.63480000000001"/>
    <x v="0"/>
    <x v="1"/>
    <x v="2"/>
  </r>
  <r>
    <n v="10085"/>
    <x v="84"/>
    <n v="2062"/>
    <x v="1"/>
    <n v="4"/>
    <n v="434.69"/>
    <n v="0.05"/>
    <x v="2"/>
    <x v="0"/>
    <n v="1738.76"/>
    <n v="86.938000000000002"/>
    <n v="1651.8219999999999"/>
    <x v="0"/>
    <x v="3"/>
    <x v="0"/>
  </r>
  <r>
    <n v="10086"/>
    <x v="85"/>
    <n v="2100"/>
    <x v="3"/>
    <n v="5"/>
    <n v="481.8"/>
    <n v="0.02"/>
    <x v="2"/>
    <x v="1"/>
    <n v="2409"/>
    <n v="48.18"/>
    <n v="2360.8200000000002"/>
    <x v="0"/>
    <x v="2"/>
    <x v="0"/>
  </r>
  <r>
    <n v="10087"/>
    <x v="86"/>
    <n v="2014"/>
    <x v="4"/>
    <n v="4"/>
    <n v="20.49"/>
    <n v="0.23"/>
    <x v="1"/>
    <x v="0"/>
    <n v="81.96"/>
    <n v="18.8508"/>
    <n v="63.109199999999994"/>
    <x v="0"/>
    <x v="1"/>
    <x v="1"/>
  </r>
  <r>
    <n v="10088"/>
    <x v="87"/>
    <n v="2095"/>
    <x v="2"/>
    <n v="8"/>
    <n v="366.98"/>
    <n v="0.08"/>
    <x v="2"/>
    <x v="1"/>
    <n v="2935.84"/>
    <n v="234.86720000000003"/>
    <n v="2700.9728"/>
    <x v="0"/>
    <x v="2"/>
    <x v="0"/>
  </r>
  <r>
    <n v="10089"/>
    <x v="88"/>
    <n v="2048"/>
    <x v="4"/>
    <n v="6"/>
    <n v="455.21"/>
    <n v="0.05"/>
    <x v="4"/>
    <x v="1"/>
    <n v="2731.2599999999998"/>
    <n v="136.56299999999999"/>
    <n v="2594.6969999999997"/>
    <x v="0"/>
    <x v="2"/>
    <x v="0"/>
  </r>
  <r>
    <n v="10090"/>
    <x v="89"/>
    <n v="2015"/>
    <x v="2"/>
    <n v="6"/>
    <n v="429.39"/>
    <n v="0.21"/>
    <x v="2"/>
    <x v="0"/>
    <n v="2576.34"/>
    <n v="541.03139999999996"/>
    <n v="2035.3086000000003"/>
    <x v="0"/>
    <x v="2"/>
    <x v="1"/>
  </r>
  <r>
    <n v="10091"/>
    <x v="90"/>
    <n v="2072"/>
    <x v="0"/>
    <n v="8"/>
    <n v="482.44"/>
    <n v="0.19"/>
    <x v="3"/>
    <x v="0"/>
    <n v="3859.52"/>
    <n v="733.30880000000002"/>
    <n v="3126.2111999999997"/>
    <x v="0"/>
    <x v="0"/>
    <x v="2"/>
  </r>
  <r>
    <n v="10092"/>
    <x v="91"/>
    <n v="2078"/>
    <x v="1"/>
    <n v="7"/>
    <n v="381.25"/>
    <n v="0.19"/>
    <x v="0"/>
    <x v="1"/>
    <n v="2668.75"/>
    <n v="507.0625"/>
    <n v="2161.6875"/>
    <x v="0"/>
    <x v="2"/>
    <x v="2"/>
  </r>
  <r>
    <n v="10093"/>
    <x v="92"/>
    <n v="2087"/>
    <x v="4"/>
    <n v="8"/>
    <n v="223.94"/>
    <n v="7.0000000000000007E-2"/>
    <x v="4"/>
    <x v="0"/>
    <n v="1791.52"/>
    <n v="125.4064"/>
    <n v="1666.1135999999999"/>
    <x v="0"/>
    <x v="3"/>
    <x v="0"/>
  </r>
  <r>
    <n v="10094"/>
    <x v="93"/>
    <n v="2062"/>
    <x v="3"/>
    <n v="2"/>
    <n v="159.41999999999999"/>
    <n v="7.0000000000000007E-2"/>
    <x v="3"/>
    <x v="0"/>
    <n v="318.83999999999997"/>
    <n v="22.3188"/>
    <n v="296.52119999999996"/>
    <x v="0"/>
    <x v="1"/>
    <x v="0"/>
  </r>
  <r>
    <n v="10095"/>
    <x v="94"/>
    <n v="2040"/>
    <x v="0"/>
    <n v="9"/>
    <n v="163.77000000000001"/>
    <n v="7.0000000000000007E-2"/>
    <x v="1"/>
    <x v="1"/>
    <n v="1473.93"/>
    <n v="103.17510000000001"/>
    <n v="1370.7549000000001"/>
    <x v="0"/>
    <x v="3"/>
    <x v="0"/>
  </r>
  <r>
    <n v="10096"/>
    <x v="95"/>
    <n v="2085"/>
    <x v="4"/>
    <n v="1"/>
    <n v="363.59"/>
    <n v="0.05"/>
    <x v="4"/>
    <x v="0"/>
    <n v="363.59"/>
    <n v="18.179500000000001"/>
    <n v="345.41049999999996"/>
    <x v="0"/>
    <x v="1"/>
    <x v="0"/>
  </r>
  <r>
    <n v="10097"/>
    <x v="96"/>
    <n v="2080"/>
    <x v="3"/>
    <n v="8"/>
    <n v="374.19"/>
    <n v="0.2"/>
    <x v="0"/>
    <x v="1"/>
    <n v="2993.52"/>
    <n v="598.70400000000006"/>
    <n v="2394.8159999999998"/>
    <x v="0"/>
    <x v="2"/>
    <x v="1"/>
  </r>
  <r>
    <n v="10098"/>
    <x v="97"/>
    <n v="2082"/>
    <x v="4"/>
    <n v="4"/>
    <n v="104.18"/>
    <n v="0.25"/>
    <x v="0"/>
    <x v="1"/>
    <n v="416.72"/>
    <n v="104.18"/>
    <n v="312.54000000000002"/>
    <x v="0"/>
    <x v="1"/>
    <x v="1"/>
  </r>
  <r>
    <n v="10099"/>
    <x v="98"/>
    <n v="2053"/>
    <x v="2"/>
    <n v="4"/>
    <n v="434.72"/>
    <n v="0.22"/>
    <x v="1"/>
    <x v="0"/>
    <n v="1738.88"/>
    <n v="382.55360000000002"/>
    <n v="1356.3264000000001"/>
    <x v="0"/>
    <x v="3"/>
    <x v="1"/>
  </r>
  <r>
    <n v="10100"/>
    <x v="99"/>
    <n v="2024"/>
    <x v="4"/>
    <n v="5"/>
    <n v="358.89"/>
    <n v="0.24"/>
    <x v="1"/>
    <x v="1"/>
    <n v="1794.4499999999998"/>
    <n v="430.66799999999995"/>
    <n v="1363.7819999999999"/>
    <x v="0"/>
    <x v="3"/>
    <x v="1"/>
  </r>
  <r>
    <n v="10101"/>
    <x v="100"/>
    <n v="2026"/>
    <x v="4"/>
    <n v="8"/>
    <n v="283.56"/>
    <n v="0.12"/>
    <x v="4"/>
    <x v="1"/>
    <n v="2268.48"/>
    <n v="272.2176"/>
    <n v="1996.2624000000001"/>
    <x v="0"/>
    <x v="3"/>
    <x v="2"/>
  </r>
  <r>
    <n v="10102"/>
    <x v="101"/>
    <n v="2089"/>
    <x v="4"/>
    <n v="5"/>
    <n v="238.41"/>
    <n v="0.2"/>
    <x v="2"/>
    <x v="0"/>
    <n v="1192.05"/>
    <n v="238.41"/>
    <n v="953.64"/>
    <x v="0"/>
    <x v="4"/>
    <x v="1"/>
  </r>
  <r>
    <n v="10103"/>
    <x v="102"/>
    <n v="2060"/>
    <x v="0"/>
    <n v="8"/>
    <n v="273.89999999999998"/>
    <n v="0.11"/>
    <x v="1"/>
    <x v="0"/>
    <n v="2191.1999999999998"/>
    <n v="241.03199999999998"/>
    <n v="1950.1679999999999"/>
    <x v="0"/>
    <x v="3"/>
    <x v="2"/>
  </r>
  <r>
    <n v="10104"/>
    <x v="103"/>
    <n v="2041"/>
    <x v="4"/>
    <n v="1"/>
    <n v="83.83"/>
    <n v="0.16"/>
    <x v="2"/>
    <x v="0"/>
    <n v="83.83"/>
    <n v="13.412800000000001"/>
    <n v="70.417199999999994"/>
    <x v="0"/>
    <x v="1"/>
    <x v="2"/>
  </r>
  <r>
    <n v="10105"/>
    <x v="104"/>
    <n v="2029"/>
    <x v="3"/>
    <n v="9"/>
    <n v="105.83"/>
    <n v="0.14000000000000001"/>
    <x v="3"/>
    <x v="1"/>
    <n v="952.47"/>
    <n v="133.34580000000003"/>
    <n v="819.12419999999997"/>
    <x v="0"/>
    <x v="4"/>
    <x v="2"/>
  </r>
  <r>
    <n v="10106"/>
    <x v="105"/>
    <n v="2015"/>
    <x v="2"/>
    <n v="6"/>
    <n v="50.13"/>
    <n v="0.05"/>
    <x v="0"/>
    <x v="1"/>
    <n v="300.78000000000003"/>
    <n v="15.039000000000001"/>
    <n v="285.74100000000004"/>
    <x v="0"/>
    <x v="1"/>
    <x v="0"/>
  </r>
  <r>
    <n v="10107"/>
    <x v="106"/>
    <n v="2045"/>
    <x v="2"/>
    <n v="3"/>
    <n v="81.06"/>
    <n v="0.12"/>
    <x v="2"/>
    <x v="0"/>
    <n v="243.18"/>
    <n v="29.1816"/>
    <n v="213.9984"/>
    <x v="0"/>
    <x v="1"/>
    <x v="2"/>
  </r>
  <r>
    <n v="10108"/>
    <x v="107"/>
    <n v="2065"/>
    <x v="4"/>
    <n v="8"/>
    <n v="229.58"/>
    <n v="0.28999999999999998"/>
    <x v="0"/>
    <x v="1"/>
    <n v="1836.64"/>
    <n v="532.62559999999996"/>
    <n v="1304.0144"/>
    <x v="0"/>
    <x v="3"/>
    <x v="1"/>
  </r>
  <r>
    <n v="10109"/>
    <x v="108"/>
    <n v="2089"/>
    <x v="0"/>
    <n v="9"/>
    <n v="267.52999999999997"/>
    <n v="7.0000000000000007E-2"/>
    <x v="2"/>
    <x v="0"/>
    <n v="2407.7699999999995"/>
    <n v="168.54389999999998"/>
    <n v="2239.2260999999994"/>
    <x v="0"/>
    <x v="2"/>
    <x v="0"/>
  </r>
  <r>
    <n v="10110"/>
    <x v="109"/>
    <n v="2071"/>
    <x v="0"/>
    <n v="6"/>
    <n v="13.84"/>
    <n v="0.04"/>
    <x v="3"/>
    <x v="0"/>
    <n v="83.039999999999992"/>
    <n v="3.3215999999999997"/>
    <n v="79.718399999999988"/>
    <x v="0"/>
    <x v="1"/>
    <x v="0"/>
  </r>
  <r>
    <n v="10111"/>
    <x v="110"/>
    <n v="2009"/>
    <x v="3"/>
    <n v="7"/>
    <n v="399.41"/>
    <n v="0.13"/>
    <x v="1"/>
    <x v="1"/>
    <n v="2795.8700000000003"/>
    <n v="363.46310000000005"/>
    <n v="2432.4069000000004"/>
    <x v="0"/>
    <x v="2"/>
    <x v="2"/>
  </r>
  <r>
    <n v="10112"/>
    <x v="111"/>
    <n v="2088"/>
    <x v="4"/>
    <n v="1"/>
    <n v="150.61000000000001"/>
    <n v="0.24"/>
    <x v="3"/>
    <x v="0"/>
    <n v="150.61000000000001"/>
    <n v="36.1464"/>
    <n v="114.46360000000001"/>
    <x v="0"/>
    <x v="1"/>
    <x v="1"/>
  </r>
  <r>
    <n v="10113"/>
    <x v="112"/>
    <n v="2001"/>
    <x v="2"/>
    <n v="5"/>
    <n v="456.36"/>
    <n v="0.17"/>
    <x v="1"/>
    <x v="1"/>
    <n v="2281.8000000000002"/>
    <n v="387.90600000000006"/>
    <n v="1893.8940000000002"/>
    <x v="0"/>
    <x v="3"/>
    <x v="2"/>
  </r>
  <r>
    <n v="10114"/>
    <x v="113"/>
    <n v="2008"/>
    <x v="0"/>
    <n v="5"/>
    <n v="483.92"/>
    <n v="0.2"/>
    <x v="1"/>
    <x v="1"/>
    <n v="2419.6"/>
    <n v="483.92"/>
    <n v="1935.6799999999998"/>
    <x v="0"/>
    <x v="3"/>
    <x v="1"/>
  </r>
  <r>
    <n v="10115"/>
    <x v="114"/>
    <n v="2088"/>
    <x v="4"/>
    <n v="4"/>
    <n v="96.8"/>
    <n v="0.06"/>
    <x v="0"/>
    <x v="0"/>
    <n v="387.2"/>
    <n v="23.231999999999999"/>
    <n v="363.96799999999996"/>
    <x v="0"/>
    <x v="1"/>
    <x v="0"/>
  </r>
  <r>
    <n v="10116"/>
    <x v="115"/>
    <n v="2063"/>
    <x v="0"/>
    <n v="6"/>
    <n v="233.74"/>
    <n v="0.19"/>
    <x v="3"/>
    <x v="1"/>
    <n v="1402.44"/>
    <n v="266.46359999999999"/>
    <n v="1135.9764"/>
    <x v="0"/>
    <x v="3"/>
    <x v="2"/>
  </r>
  <r>
    <n v="10117"/>
    <x v="116"/>
    <n v="2011"/>
    <x v="0"/>
    <n v="7"/>
    <n v="5.61"/>
    <n v="0.1"/>
    <x v="2"/>
    <x v="0"/>
    <n v="39.270000000000003"/>
    <n v="3.9270000000000005"/>
    <n v="35.343000000000004"/>
    <x v="0"/>
    <x v="1"/>
    <x v="2"/>
  </r>
  <r>
    <n v="10118"/>
    <x v="117"/>
    <n v="2081"/>
    <x v="2"/>
    <n v="9"/>
    <n v="301.17"/>
    <n v="0.25"/>
    <x v="3"/>
    <x v="1"/>
    <n v="2710.53"/>
    <n v="677.63250000000005"/>
    <n v="2032.8975"/>
    <x v="0"/>
    <x v="2"/>
    <x v="1"/>
  </r>
  <r>
    <n v="10119"/>
    <x v="118"/>
    <n v="2008"/>
    <x v="1"/>
    <n v="1"/>
    <n v="305.62"/>
    <n v="0.19"/>
    <x v="0"/>
    <x v="1"/>
    <n v="305.62"/>
    <n v="58.067799999999998"/>
    <n v="247.5522"/>
    <x v="0"/>
    <x v="1"/>
    <x v="2"/>
  </r>
  <r>
    <n v="10120"/>
    <x v="119"/>
    <n v="2035"/>
    <x v="3"/>
    <n v="6"/>
    <n v="127.53"/>
    <n v="0.06"/>
    <x v="1"/>
    <x v="1"/>
    <n v="765.18000000000006"/>
    <n v="45.910800000000002"/>
    <n v="719.26920000000007"/>
    <x v="0"/>
    <x v="4"/>
    <x v="0"/>
  </r>
  <r>
    <n v="10121"/>
    <x v="120"/>
    <n v="2035"/>
    <x v="3"/>
    <n v="7"/>
    <n v="281.41000000000003"/>
    <n v="0.02"/>
    <x v="0"/>
    <x v="0"/>
    <n v="1969.8700000000001"/>
    <n v="39.397400000000005"/>
    <n v="1930.4726000000001"/>
    <x v="0"/>
    <x v="3"/>
    <x v="0"/>
  </r>
  <r>
    <n v="10122"/>
    <x v="121"/>
    <n v="2033"/>
    <x v="2"/>
    <n v="3"/>
    <n v="116.64"/>
    <n v="0.01"/>
    <x v="4"/>
    <x v="1"/>
    <n v="349.92"/>
    <n v="3.4992000000000001"/>
    <n v="346.42080000000004"/>
    <x v="0"/>
    <x v="1"/>
    <x v="0"/>
  </r>
  <r>
    <n v="10123"/>
    <x v="122"/>
    <n v="2005"/>
    <x v="0"/>
    <n v="8"/>
    <n v="84.61"/>
    <n v="0.11"/>
    <x v="4"/>
    <x v="0"/>
    <n v="676.88"/>
    <n v="74.456800000000001"/>
    <n v="602.42319999999995"/>
    <x v="0"/>
    <x v="4"/>
    <x v="2"/>
  </r>
  <r>
    <n v="10124"/>
    <x v="123"/>
    <n v="2041"/>
    <x v="4"/>
    <n v="5"/>
    <n v="327.5"/>
    <n v="0.08"/>
    <x v="2"/>
    <x v="1"/>
    <n v="1637.5"/>
    <n v="131"/>
    <n v="1506.5"/>
    <x v="0"/>
    <x v="3"/>
    <x v="0"/>
  </r>
  <r>
    <n v="10125"/>
    <x v="124"/>
    <n v="2028"/>
    <x v="0"/>
    <n v="9"/>
    <n v="166.33"/>
    <n v="0.19"/>
    <x v="0"/>
    <x v="1"/>
    <n v="1496.97"/>
    <n v="284.42430000000002"/>
    <n v="1212.5457000000001"/>
    <x v="0"/>
    <x v="3"/>
    <x v="2"/>
  </r>
  <r>
    <n v="10126"/>
    <x v="125"/>
    <n v="2007"/>
    <x v="2"/>
    <n v="5"/>
    <n v="297.18"/>
    <n v="0.15"/>
    <x v="2"/>
    <x v="0"/>
    <n v="1485.9"/>
    <n v="222.88500000000002"/>
    <n v="1263.0150000000001"/>
    <x v="0"/>
    <x v="3"/>
    <x v="2"/>
  </r>
  <r>
    <n v="10127"/>
    <x v="126"/>
    <n v="2073"/>
    <x v="3"/>
    <n v="9"/>
    <n v="219.46"/>
    <n v="0.08"/>
    <x v="2"/>
    <x v="0"/>
    <n v="1975.14"/>
    <n v="158.0112"/>
    <n v="1817.1288000000002"/>
    <x v="0"/>
    <x v="3"/>
    <x v="0"/>
  </r>
  <r>
    <n v="10128"/>
    <x v="127"/>
    <n v="2072"/>
    <x v="0"/>
    <n v="4"/>
    <n v="492.25"/>
    <n v="0.04"/>
    <x v="4"/>
    <x v="0"/>
    <n v="1969"/>
    <n v="78.760000000000005"/>
    <n v="1890.24"/>
    <x v="0"/>
    <x v="3"/>
    <x v="0"/>
  </r>
  <r>
    <n v="10129"/>
    <x v="128"/>
    <n v="2012"/>
    <x v="3"/>
    <n v="9"/>
    <n v="79.040000000000006"/>
    <n v="0.04"/>
    <x v="2"/>
    <x v="0"/>
    <n v="711.36"/>
    <n v="28.4544"/>
    <n v="682.90560000000005"/>
    <x v="0"/>
    <x v="4"/>
    <x v="0"/>
  </r>
  <r>
    <n v="10130"/>
    <x v="129"/>
    <n v="2034"/>
    <x v="4"/>
    <n v="5"/>
    <n v="234.98"/>
    <n v="0.26"/>
    <x v="4"/>
    <x v="0"/>
    <n v="1174.8999999999999"/>
    <n v="305.47399999999999"/>
    <n v="869.42599999999993"/>
    <x v="0"/>
    <x v="4"/>
    <x v="1"/>
  </r>
  <r>
    <n v="10131"/>
    <x v="130"/>
    <n v="2033"/>
    <x v="3"/>
    <n v="9"/>
    <n v="341.83"/>
    <n v="7.0000000000000007E-2"/>
    <x v="1"/>
    <x v="1"/>
    <n v="3076.47"/>
    <n v="215.35290000000001"/>
    <n v="2861.1170999999999"/>
    <x v="0"/>
    <x v="2"/>
    <x v="0"/>
  </r>
  <r>
    <n v="10132"/>
    <x v="131"/>
    <n v="2048"/>
    <x v="3"/>
    <n v="3"/>
    <n v="200.79"/>
    <n v="0.2"/>
    <x v="0"/>
    <x v="1"/>
    <n v="602.37"/>
    <n v="120.474"/>
    <n v="481.89600000000002"/>
    <x v="0"/>
    <x v="1"/>
    <x v="1"/>
  </r>
  <r>
    <n v="10133"/>
    <x v="132"/>
    <n v="2023"/>
    <x v="1"/>
    <n v="4"/>
    <n v="487.48"/>
    <n v="0.24"/>
    <x v="2"/>
    <x v="0"/>
    <n v="1949.92"/>
    <n v="467.98079999999999"/>
    <n v="1481.9392"/>
    <x v="0"/>
    <x v="3"/>
    <x v="1"/>
  </r>
  <r>
    <n v="10134"/>
    <x v="133"/>
    <n v="2062"/>
    <x v="1"/>
    <n v="9"/>
    <n v="362.33"/>
    <n v="0.18"/>
    <x v="4"/>
    <x v="1"/>
    <n v="3260.97"/>
    <n v="586.9745999999999"/>
    <n v="2673.9953999999998"/>
    <x v="0"/>
    <x v="2"/>
    <x v="2"/>
  </r>
  <r>
    <n v="10135"/>
    <x v="134"/>
    <n v="2088"/>
    <x v="1"/>
    <n v="6"/>
    <n v="330.21"/>
    <n v="0.26"/>
    <x v="3"/>
    <x v="1"/>
    <n v="1981.2599999999998"/>
    <n v="515.12759999999992"/>
    <n v="1466.1324"/>
    <x v="0"/>
    <x v="3"/>
    <x v="1"/>
  </r>
  <r>
    <n v="10136"/>
    <x v="135"/>
    <n v="2037"/>
    <x v="3"/>
    <n v="2"/>
    <n v="379.74"/>
    <n v="0.12"/>
    <x v="2"/>
    <x v="1"/>
    <n v="759.48"/>
    <n v="91.137599999999992"/>
    <n v="668.3424"/>
    <x v="0"/>
    <x v="4"/>
    <x v="2"/>
  </r>
  <r>
    <n v="10137"/>
    <x v="136"/>
    <n v="2099"/>
    <x v="2"/>
    <n v="7"/>
    <n v="476.56"/>
    <n v="0.28999999999999998"/>
    <x v="1"/>
    <x v="0"/>
    <n v="3335.92"/>
    <n v="967.41679999999997"/>
    <n v="2368.5032000000001"/>
    <x v="0"/>
    <x v="2"/>
    <x v="1"/>
  </r>
  <r>
    <n v="10138"/>
    <x v="137"/>
    <n v="2044"/>
    <x v="3"/>
    <n v="2"/>
    <n v="454.37"/>
    <n v="0.04"/>
    <x v="1"/>
    <x v="1"/>
    <n v="908.74"/>
    <n v="36.349600000000002"/>
    <n v="872.3904"/>
    <x v="0"/>
    <x v="4"/>
    <x v="0"/>
  </r>
  <r>
    <n v="10139"/>
    <x v="138"/>
    <n v="2086"/>
    <x v="2"/>
    <n v="2"/>
    <n v="363.52"/>
    <n v="0.03"/>
    <x v="3"/>
    <x v="1"/>
    <n v="727.04"/>
    <n v="21.811199999999999"/>
    <n v="705.22879999999998"/>
    <x v="0"/>
    <x v="4"/>
    <x v="0"/>
  </r>
  <r>
    <n v="10140"/>
    <x v="139"/>
    <n v="2091"/>
    <x v="2"/>
    <n v="1"/>
    <n v="375.84"/>
    <n v="0.2"/>
    <x v="4"/>
    <x v="1"/>
    <n v="375.84"/>
    <n v="75.167999999999992"/>
    <n v="300.67199999999997"/>
    <x v="0"/>
    <x v="1"/>
    <x v="1"/>
  </r>
  <r>
    <n v="10141"/>
    <x v="140"/>
    <n v="2035"/>
    <x v="1"/>
    <n v="3"/>
    <n v="77.23"/>
    <n v="0.28000000000000003"/>
    <x v="2"/>
    <x v="0"/>
    <n v="231.69"/>
    <n v="64.873200000000011"/>
    <n v="166.8168"/>
    <x v="0"/>
    <x v="1"/>
    <x v="1"/>
  </r>
  <r>
    <n v="10142"/>
    <x v="141"/>
    <n v="2065"/>
    <x v="0"/>
    <n v="6"/>
    <n v="55.88"/>
    <n v="0.24"/>
    <x v="4"/>
    <x v="1"/>
    <n v="335.28000000000003"/>
    <n v="80.467200000000005"/>
    <n v="254.81280000000004"/>
    <x v="0"/>
    <x v="1"/>
    <x v="1"/>
  </r>
  <r>
    <n v="10143"/>
    <x v="142"/>
    <n v="2099"/>
    <x v="4"/>
    <n v="8"/>
    <n v="287.60000000000002"/>
    <n v="0.02"/>
    <x v="1"/>
    <x v="1"/>
    <n v="2300.8000000000002"/>
    <n v="46.016000000000005"/>
    <n v="2254.7840000000001"/>
    <x v="0"/>
    <x v="2"/>
    <x v="0"/>
  </r>
  <r>
    <n v="10144"/>
    <x v="143"/>
    <n v="2047"/>
    <x v="1"/>
    <n v="9"/>
    <n v="14.09"/>
    <n v="0.08"/>
    <x v="4"/>
    <x v="0"/>
    <n v="126.81"/>
    <n v="10.1448"/>
    <n v="116.6652"/>
    <x v="0"/>
    <x v="1"/>
    <x v="0"/>
  </r>
  <r>
    <n v="10145"/>
    <x v="144"/>
    <n v="2078"/>
    <x v="1"/>
    <n v="7"/>
    <n v="243.77"/>
    <n v="0.28000000000000003"/>
    <x v="1"/>
    <x v="0"/>
    <n v="1706.39"/>
    <n v="477.78920000000005"/>
    <n v="1228.6008000000002"/>
    <x v="0"/>
    <x v="3"/>
    <x v="1"/>
  </r>
  <r>
    <n v="10146"/>
    <x v="145"/>
    <n v="2003"/>
    <x v="0"/>
    <n v="4"/>
    <n v="109.12"/>
    <n v="0.08"/>
    <x v="4"/>
    <x v="1"/>
    <n v="436.48"/>
    <n v="34.918400000000005"/>
    <n v="401.5616"/>
    <x v="0"/>
    <x v="1"/>
    <x v="0"/>
  </r>
  <r>
    <n v="10147"/>
    <x v="146"/>
    <n v="2001"/>
    <x v="4"/>
    <n v="6"/>
    <n v="176.28"/>
    <n v="0.23"/>
    <x v="3"/>
    <x v="1"/>
    <n v="1057.68"/>
    <n v="243.26640000000003"/>
    <n v="814.41360000000009"/>
    <x v="0"/>
    <x v="4"/>
    <x v="1"/>
  </r>
  <r>
    <n v="10148"/>
    <x v="147"/>
    <n v="2005"/>
    <x v="3"/>
    <n v="5"/>
    <n v="389.02"/>
    <n v="0.25"/>
    <x v="0"/>
    <x v="0"/>
    <n v="1945.1"/>
    <n v="486.27499999999998"/>
    <n v="1458.8249999999998"/>
    <x v="0"/>
    <x v="3"/>
    <x v="1"/>
  </r>
  <r>
    <n v="10149"/>
    <x v="148"/>
    <n v="2090"/>
    <x v="3"/>
    <n v="8"/>
    <n v="470.91"/>
    <n v="0.15"/>
    <x v="3"/>
    <x v="0"/>
    <n v="3767.28"/>
    <n v="565.09199999999998"/>
    <n v="3202.1880000000001"/>
    <x v="0"/>
    <x v="0"/>
    <x v="2"/>
  </r>
  <r>
    <n v="10150"/>
    <x v="149"/>
    <n v="2014"/>
    <x v="1"/>
    <n v="1"/>
    <n v="40.85"/>
    <n v="0.12"/>
    <x v="3"/>
    <x v="0"/>
    <n v="40.85"/>
    <n v="4.9020000000000001"/>
    <n v="35.948"/>
    <x v="0"/>
    <x v="1"/>
    <x v="2"/>
  </r>
  <r>
    <n v="10151"/>
    <x v="150"/>
    <n v="2027"/>
    <x v="4"/>
    <n v="1"/>
    <n v="269.45"/>
    <n v="0.14000000000000001"/>
    <x v="0"/>
    <x v="0"/>
    <n v="269.45"/>
    <n v="37.722999999999999"/>
    <n v="231.72699999999998"/>
    <x v="0"/>
    <x v="1"/>
    <x v="2"/>
  </r>
  <r>
    <n v="10152"/>
    <x v="151"/>
    <n v="2009"/>
    <x v="1"/>
    <n v="6"/>
    <n v="441.85"/>
    <n v="7.0000000000000007E-2"/>
    <x v="0"/>
    <x v="0"/>
    <n v="2651.1000000000004"/>
    <n v="185.57700000000006"/>
    <n v="2465.5230000000001"/>
    <x v="0"/>
    <x v="2"/>
    <x v="0"/>
  </r>
  <r>
    <n v="10153"/>
    <x v="152"/>
    <n v="2079"/>
    <x v="2"/>
    <n v="2"/>
    <n v="45.84"/>
    <n v="0.27"/>
    <x v="2"/>
    <x v="0"/>
    <n v="91.68"/>
    <n v="24.753600000000002"/>
    <n v="66.926400000000001"/>
    <x v="0"/>
    <x v="1"/>
    <x v="1"/>
  </r>
  <r>
    <n v="10154"/>
    <x v="153"/>
    <n v="2015"/>
    <x v="1"/>
    <n v="5"/>
    <n v="413.13"/>
    <n v="0.14000000000000001"/>
    <x v="2"/>
    <x v="0"/>
    <n v="2065.65"/>
    <n v="289.19100000000003"/>
    <n v="1776.4590000000001"/>
    <x v="0"/>
    <x v="3"/>
    <x v="2"/>
  </r>
  <r>
    <n v="10155"/>
    <x v="154"/>
    <n v="2090"/>
    <x v="1"/>
    <n v="1"/>
    <n v="182.11"/>
    <n v="0.26"/>
    <x v="3"/>
    <x v="1"/>
    <n v="182.11"/>
    <n v="47.348600000000005"/>
    <n v="134.76140000000001"/>
    <x v="0"/>
    <x v="1"/>
    <x v="1"/>
  </r>
  <r>
    <n v="10156"/>
    <x v="155"/>
    <n v="2042"/>
    <x v="3"/>
    <n v="7"/>
    <n v="164.44"/>
    <n v="0.03"/>
    <x v="3"/>
    <x v="0"/>
    <n v="1151.08"/>
    <n v="34.532399999999996"/>
    <n v="1116.5475999999999"/>
    <x v="0"/>
    <x v="3"/>
    <x v="0"/>
  </r>
  <r>
    <n v="10157"/>
    <x v="156"/>
    <n v="2077"/>
    <x v="3"/>
    <n v="1"/>
    <n v="488.85"/>
    <n v="0.3"/>
    <x v="1"/>
    <x v="0"/>
    <n v="488.85"/>
    <n v="146.655"/>
    <n v="342.19500000000005"/>
    <x v="0"/>
    <x v="1"/>
    <x v="1"/>
  </r>
  <r>
    <n v="10158"/>
    <x v="157"/>
    <n v="2051"/>
    <x v="3"/>
    <n v="4"/>
    <n v="104.43"/>
    <n v="0.13"/>
    <x v="1"/>
    <x v="1"/>
    <n v="417.72"/>
    <n v="54.303600000000003"/>
    <n v="363.41640000000001"/>
    <x v="0"/>
    <x v="1"/>
    <x v="2"/>
  </r>
  <r>
    <n v="10159"/>
    <x v="158"/>
    <n v="2063"/>
    <x v="2"/>
    <n v="9"/>
    <n v="348.13"/>
    <n v="0.01"/>
    <x v="2"/>
    <x v="0"/>
    <n v="3133.17"/>
    <n v="31.331700000000001"/>
    <n v="3101.8382999999999"/>
    <x v="0"/>
    <x v="0"/>
    <x v="0"/>
  </r>
  <r>
    <n v="10160"/>
    <x v="159"/>
    <n v="2096"/>
    <x v="3"/>
    <n v="1"/>
    <n v="411.61"/>
    <n v="0.01"/>
    <x v="2"/>
    <x v="0"/>
    <n v="411.61"/>
    <n v="4.1161000000000003"/>
    <n v="407.4939"/>
    <x v="0"/>
    <x v="1"/>
    <x v="0"/>
  </r>
  <r>
    <n v="10161"/>
    <x v="160"/>
    <n v="2052"/>
    <x v="4"/>
    <n v="4"/>
    <n v="25.39"/>
    <n v="0.22"/>
    <x v="1"/>
    <x v="1"/>
    <n v="101.56"/>
    <n v="22.3432"/>
    <n v="79.216800000000006"/>
    <x v="0"/>
    <x v="1"/>
    <x v="1"/>
  </r>
  <r>
    <n v="10162"/>
    <x v="161"/>
    <n v="2096"/>
    <x v="0"/>
    <n v="6"/>
    <n v="336.84"/>
    <n v="0.2"/>
    <x v="1"/>
    <x v="0"/>
    <n v="2021.04"/>
    <n v="404.20800000000003"/>
    <n v="1616.8319999999999"/>
    <x v="0"/>
    <x v="3"/>
    <x v="1"/>
  </r>
  <r>
    <n v="10163"/>
    <x v="162"/>
    <n v="2004"/>
    <x v="4"/>
    <n v="6"/>
    <n v="476.02"/>
    <n v="0.24"/>
    <x v="4"/>
    <x v="1"/>
    <n v="2856.12"/>
    <n v="685.46879999999999"/>
    <n v="2170.6511999999998"/>
    <x v="0"/>
    <x v="2"/>
    <x v="1"/>
  </r>
  <r>
    <n v="10164"/>
    <x v="163"/>
    <n v="2094"/>
    <x v="4"/>
    <n v="8"/>
    <n v="66.489999999999995"/>
    <n v="0.03"/>
    <x v="4"/>
    <x v="1"/>
    <n v="531.91999999999996"/>
    <n v="15.957599999999998"/>
    <n v="515.9624"/>
    <x v="0"/>
    <x v="4"/>
    <x v="0"/>
  </r>
  <r>
    <n v="10165"/>
    <x v="164"/>
    <n v="2023"/>
    <x v="3"/>
    <n v="1"/>
    <n v="448.63"/>
    <n v="0.01"/>
    <x v="1"/>
    <x v="1"/>
    <n v="448.63"/>
    <n v="4.4863"/>
    <n v="444.14369999999997"/>
    <x v="0"/>
    <x v="1"/>
    <x v="0"/>
  </r>
  <r>
    <n v="10166"/>
    <x v="165"/>
    <n v="2015"/>
    <x v="0"/>
    <n v="7"/>
    <n v="299.41000000000003"/>
    <n v="0.15"/>
    <x v="4"/>
    <x v="1"/>
    <n v="2095.8700000000003"/>
    <n v="314.38050000000004"/>
    <n v="1781.4895000000004"/>
    <x v="0"/>
    <x v="3"/>
    <x v="2"/>
  </r>
  <r>
    <n v="10167"/>
    <x v="166"/>
    <n v="2043"/>
    <x v="0"/>
    <n v="1"/>
    <n v="310.22000000000003"/>
    <n v="0.12"/>
    <x v="0"/>
    <x v="0"/>
    <n v="310.22000000000003"/>
    <n v="37.226400000000005"/>
    <n v="272.99360000000001"/>
    <x v="0"/>
    <x v="1"/>
    <x v="2"/>
  </r>
  <r>
    <n v="10168"/>
    <x v="167"/>
    <n v="2029"/>
    <x v="0"/>
    <n v="7"/>
    <n v="308.41000000000003"/>
    <n v="0.14000000000000001"/>
    <x v="2"/>
    <x v="1"/>
    <n v="2158.8700000000003"/>
    <n v="302.24180000000007"/>
    <n v="1856.6282000000003"/>
    <x v="0"/>
    <x v="3"/>
    <x v="2"/>
  </r>
  <r>
    <n v="10169"/>
    <x v="168"/>
    <n v="2036"/>
    <x v="2"/>
    <n v="3"/>
    <n v="152.91999999999999"/>
    <n v="0.3"/>
    <x v="2"/>
    <x v="1"/>
    <n v="458.76"/>
    <n v="137.62799999999999"/>
    <n v="321.13200000000001"/>
    <x v="0"/>
    <x v="1"/>
    <x v="1"/>
  </r>
  <r>
    <n v="10170"/>
    <x v="169"/>
    <n v="2013"/>
    <x v="3"/>
    <n v="8"/>
    <n v="467.92"/>
    <n v="0.28999999999999998"/>
    <x v="1"/>
    <x v="0"/>
    <n v="3743.36"/>
    <n v="1085.5744"/>
    <n v="2657.7856000000002"/>
    <x v="0"/>
    <x v="2"/>
    <x v="1"/>
  </r>
  <r>
    <n v="10171"/>
    <x v="170"/>
    <n v="2032"/>
    <x v="0"/>
    <n v="3"/>
    <n v="473.94"/>
    <n v="0.28000000000000003"/>
    <x v="3"/>
    <x v="1"/>
    <n v="1421.82"/>
    <n v="398.1096"/>
    <n v="1023.7103999999999"/>
    <x v="0"/>
    <x v="3"/>
    <x v="1"/>
  </r>
  <r>
    <n v="10172"/>
    <x v="171"/>
    <n v="2071"/>
    <x v="2"/>
    <n v="1"/>
    <n v="314.52999999999997"/>
    <n v="0.24"/>
    <x v="1"/>
    <x v="1"/>
    <n v="314.52999999999997"/>
    <n v="75.487199999999987"/>
    <n v="239.0428"/>
    <x v="0"/>
    <x v="1"/>
    <x v="1"/>
  </r>
  <r>
    <n v="10173"/>
    <x v="172"/>
    <n v="2059"/>
    <x v="1"/>
    <n v="8"/>
    <n v="392.79"/>
    <n v="0.11"/>
    <x v="4"/>
    <x v="1"/>
    <n v="3142.32"/>
    <n v="345.65520000000004"/>
    <n v="2796.6648"/>
    <x v="0"/>
    <x v="2"/>
    <x v="2"/>
  </r>
  <r>
    <n v="10174"/>
    <x v="173"/>
    <n v="2086"/>
    <x v="1"/>
    <n v="3"/>
    <n v="308.07"/>
    <n v="0.12"/>
    <x v="3"/>
    <x v="1"/>
    <n v="924.21"/>
    <n v="110.90519999999999"/>
    <n v="813.3048"/>
    <x v="0"/>
    <x v="4"/>
    <x v="2"/>
  </r>
  <r>
    <n v="10175"/>
    <x v="174"/>
    <n v="2028"/>
    <x v="2"/>
    <n v="2"/>
    <n v="244.78"/>
    <n v="0.16"/>
    <x v="4"/>
    <x v="0"/>
    <n v="489.56"/>
    <n v="78.329599999999999"/>
    <n v="411.23040000000003"/>
    <x v="0"/>
    <x v="1"/>
    <x v="2"/>
  </r>
  <r>
    <n v="10176"/>
    <x v="175"/>
    <n v="2066"/>
    <x v="2"/>
    <n v="1"/>
    <n v="332.11"/>
    <n v="0.25"/>
    <x v="0"/>
    <x v="1"/>
    <n v="332.11"/>
    <n v="83.027500000000003"/>
    <n v="249.08250000000001"/>
    <x v="0"/>
    <x v="1"/>
    <x v="1"/>
  </r>
  <r>
    <n v="10177"/>
    <x v="176"/>
    <n v="2042"/>
    <x v="3"/>
    <n v="3"/>
    <n v="278.74"/>
    <n v="0.02"/>
    <x v="4"/>
    <x v="0"/>
    <n v="836.22"/>
    <n v="16.724399999999999"/>
    <n v="819.49560000000008"/>
    <x v="0"/>
    <x v="4"/>
    <x v="0"/>
  </r>
  <r>
    <n v="10178"/>
    <x v="177"/>
    <n v="2045"/>
    <x v="3"/>
    <n v="2"/>
    <n v="300.75"/>
    <n v="0.13"/>
    <x v="0"/>
    <x v="0"/>
    <n v="601.5"/>
    <n v="78.195000000000007"/>
    <n v="523.30499999999995"/>
    <x v="0"/>
    <x v="4"/>
    <x v="2"/>
  </r>
  <r>
    <n v="10179"/>
    <x v="178"/>
    <n v="2062"/>
    <x v="1"/>
    <n v="2"/>
    <n v="393"/>
    <n v="0.02"/>
    <x v="0"/>
    <x v="1"/>
    <n v="786"/>
    <n v="15.72"/>
    <n v="770.28"/>
    <x v="0"/>
    <x v="4"/>
    <x v="0"/>
  </r>
  <r>
    <n v="10180"/>
    <x v="179"/>
    <n v="2057"/>
    <x v="0"/>
    <n v="6"/>
    <n v="243.05"/>
    <n v="0.15"/>
    <x v="4"/>
    <x v="1"/>
    <n v="1458.3000000000002"/>
    <n v="218.74500000000003"/>
    <n v="1239.5550000000001"/>
    <x v="0"/>
    <x v="3"/>
    <x v="2"/>
  </r>
  <r>
    <n v="10181"/>
    <x v="180"/>
    <n v="2006"/>
    <x v="1"/>
    <n v="1"/>
    <n v="25.17"/>
    <n v="0.27"/>
    <x v="4"/>
    <x v="1"/>
    <n v="25.17"/>
    <n v="6.7959000000000005"/>
    <n v="18.374100000000002"/>
    <x v="0"/>
    <x v="1"/>
    <x v="1"/>
  </r>
  <r>
    <n v="10182"/>
    <x v="181"/>
    <n v="2028"/>
    <x v="0"/>
    <n v="2"/>
    <n v="86.18"/>
    <n v="0.23"/>
    <x v="0"/>
    <x v="1"/>
    <n v="172.36"/>
    <n v="39.642800000000008"/>
    <n v="132.71719999999999"/>
    <x v="0"/>
    <x v="1"/>
    <x v="1"/>
  </r>
  <r>
    <n v="10183"/>
    <x v="182"/>
    <n v="2028"/>
    <x v="0"/>
    <n v="6"/>
    <n v="222.11"/>
    <n v="7.0000000000000007E-2"/>
    <x v="3"/>
    <x v="0"/>
    <n v="1332.66"/>
    <n v="93.286200000000008"/>
    <n v="1239.3738000000001"/>
    <x v="0"/>
    <x v="3"/>
    <x v="0"/>
  </r>
  <r>
    <n v="10184"/>
    <x v="183"/>
    <n v="2044"/>
    <x v="3"/>
    <n v="3"/>
    <n v="363.79"/>
    <n v="0.28999999999999998"/>
    <x v="0"/>
    <x v="0"/>
    <n v="1091.3700000000001"/>
    <n v="316.4973"/>
    <n v="774.87270000000012"/>
    <x v="0"/>
    <x v="4"/>
    <x v="1"/>
  </r>
  <r>
    <n v="10185"/>
    <x v="184"/>
    <n v="2084"/>
    <x v="4"/>
    <n v="4"/>
    <n v="298.67"/>
    <n v="0.2"/>
    <x v="2"/>
    <x v="0"/>
    <n v="1194.68"/>
    <n v="238.93600000000004"/>
    <n v="955.74400000000003"/>
    <x v="0"/>
    <x v="4"/>
    <x v="1"/>
  </r>
  <r>
    <n v="10186"/>
    <x v="185"/>
    <n v="2030"/>
    <x v="4"/>
    <n v="1"/>
    <n v="326.89999999999998"/>
    <n v="0"/>
    <x v="0"/>
    <x v="1"/>
    <n v="326.89999999999998"/>
    <n v="0"/>
    <n v="326.89999999999998"/>
    <x v="0"/>
    <x v="1"/>
    <x v="0"/>
  </r>
  <r>
    <n v="10187"/>
    <x v="186"/>
    <n v="2062"/>
    <x v="2"/>
    <n v="8"/>
    <n v="242.24"/>
    <n v="0.08"/>
    <x v="3"/>
    <x v="0"/>
    <n v="1937.92"/>
    <n v="155.03360000000001"/>
    <n v="1782.8864000000001"/>
    <x v="0"/>
    <x v="3"/>
    <x v="0"/>
  </r>
  <r>
    <n v="10188"/>
    <x v="187"/>
    <n v="2075"/>
    <x v="3"/>
    <n v="7"/>
    <n v="309.79000000000002"/>
    <n v="0.08"/>
    <x v="2"/>
    <x v="1"/>
    <n v="2168.5300000000002"/>
    <n v="173.48240000000001"/>
    <n v="1995.0476000000001"/>
    <x v="0"/>
    <x v="3"/>
    <x v="0"/>
  </r>
  <r>
    <n v="10189"/>
    <x v="188"/>
    <n v="2092"/>
    <x v="0"/>
    <n v="7"/>
    <n v="167.86"/>
    <n v="0.02"/>
    <x v="1"/>
    <x v="1"/>
    <n v="1175.02"/>
    <n v="23.500399999999999"/>
    <n v="1151.5196000000001"/>
    <x v="0"/>
    <x v="3"/>
    <x v="0"/>
  </r>
  <r>
    <n v="10190"/>
    <x v="189"/>
    <n v="2089"/>
    <x v="4"/>
    <n v="3"/>
    <n v="237.74"/>
    <n v="0.28999999999999998"/>
    <x v="1"/>
    <x v="1"/>
    <n v="713.22"/>
    <n v="206.8338"/>
    <n v="506.38620000000003"/>
    <x v="0"/>
    <x v="4"/>
    <x v="1"/>
  </r>
  <r>
    <n v="10191"/>
    <x v="190"/>
    <n v="2062"/>
    <x v="0"/>
    <n v="3"/>
    <n v="373.42"/>
    <n v="0.14000000000000001"/>
    <x v="3"/>
    <x v="1"/>
    <n v="1120.26"/>
    <n v="156.83640000000003"/>
    <n v="963.42359999999996"/>
    <x v="0"/>
    <x v="4"/>
    <x v="2"/>
  </r>
  <r>
    <n v="10192"/>
    <x v="191"/>
    <n v="2097"/>
    <x v="4"/>
    <n v="2"/>
    <n v="436.56"/>
    <n v="0.27"/>
    <x v="0"/>
    <x v="1"/>
    <n v="873.12"/>
    <n v="235.7424"/>
    <n v="637.37760000000003"/>
    <x v="0"/>
    <x v="4"/>
    <x v="1"/>
  </r>
  <r>
    <n v="10193"/>
    <x v="192"/>
    <n v="2001"/>
    <x v="4"/>
    <n v="1"/>
    <n v="219.66"/>
    <n v="0.1"/>
    <x v="4"/>
    <x v="0"/>
    <n v="219.66"/>
    <n v="21.966000000000001"/>
    <n v="197.69399999999999"/>
    <x v="0"/>
    <x v="1"/>
    <x v="2"/>
  </r>
  <r>
    <n v="10194"/>
    <x v="193"/>
    <n v="2027"/>
    <x v="4"/>
    <n v="7"/>
    <n v="26.61"/>
    <n v="0.04"/>
    <x v="3"/>
    <x v="0"/>
    <n v="186.26999999999998"/>
    <n v="7.4507999999999992"/>
    <n v="178.8192"/>
    <x v="0"/>
    <x v="1"/>
    <x v="0"/>
  </r>
  <r>
    <n v="10195"/>
    <x v="194"/>
    <n v="2062"/>
    <x v="3"/>
    <n v="7"/>
    <n v="85.03"/>
    <n v="0.14000000000000001"/>
    <x v="2"/>
    <x v="1"/>
    <n v="595.21"/>
    <n v="83.329400000000007"/>
    <n v="511.88060000000002"/>
    <x v="0"/>
    <x v="4"/>
    <x v="2"/>
  </r>
  <r>
    <n v="10196"/>
    <x v="195"/>
    <n v="2077"/>
    <x v="1"/>
    <n v="2"/>
    <n v="15.33"/>
    <n v="0.03"/>
    <x v="2"/>
    <x v="0"/>
    <n v="30.66"/>
    <n v="0.91979999999999995"/>
    <n v="29.740200000000002"/>
    <x v="0"/>
    <x v="1"/>
    <x v="0"/>
  </r>
  <r>
    <n v="10197"/>
    <x v="196"/>
    <n v="2003"/>
    <x v="0"/>
    <n v="7"/>
    <n v="328.37"/>
    <n v="0.15"/>
    <x v="1"/>
    <x v="1"/>
    <n v="2298.59"/>
    <n v="344.7885"/>
    <n v="1953.8015"/>
    <x v="0"/>
    <x v="3"/>
    <x v="2"/>
  </r>
  <r>
    <n v="10198"/>
    <x v="197"/>
    <n v="2070"/>
    <x v="3"/>
    <n v="8"/>
    <n v="169.5"/>
    <n v="0.28000000000000003"/>
    <x v="2"/>
    <x v="1"/>
    <n v="1356"/>
    <n v="379.68000000000006"/>
    <n v="976.31999999999994"/>
    <x v="0"/>
    <x v="4"/>
    <x v="1"/>
  </r>
  <r>
    <n v="10199"/>
    <x v="198"/>
    <n v="2072"/>
    <x v="3"/>
    <n v="1"/>
    <n v="273.52999999999997"/>
    <n v="0.16"/>
    <x v="3"/>
    <x v="1"/>
    <n v="273.52999999999997"/>
    <n v="43.764799999999994"/>
    <n v="229.76519999999999"/>
    <x v="0"/>
    <x v="1"/>
    <x v="2"/>
  </r>
  <r>
    <n v="10200"/>
    <x v="199"/>
    <n v="2027"/>
    <x v="3"/>
    <n v="9"/>
    <n v="249.17"/>
    <n v="0.18"/>
    <x v="2"/>
    <x v="0"/>
    <n v="2242.5299999999997"/>
    <n v="403.65539999999993"/>
    <n v="1838.8745999999999"/>
    <x v="0"/>
    <x v="3"/>
    <x v="2"/>
  </r>
  <r>
    <n v="10201"/>
    <x v="200"/>
    <n v="2009"/>
    <x v="3"/>
    <n v="7"/>
    <n v="45.36"/>
    <n v="0.05"/>
    <x v="3"/>
    <x v="1"/>
    <n v="317.52"/>
    <n v="15.875999999999999"/>
    <n v="301.64400000000001"/>
    <x v="0"/>
    <x v="1"/>
    <x v="0"/>
  </r>
  <r>
    <n v="10202"/>
    <x v="201"/>
    <n v="2062"/>
    <x v="3"/>
    <n v="3"/>
    <n v="204.61"/>
    <n v="0.01"/>
    <x v="4"/>
    <x v="1"/>
    <n v="613.83000000000004"/>
    <n v="6.138300000000001"/>
    <n v="607.69170000000008"/>
    <x v="0"/>
    <x v="4"/>
    <x v="0"/>
  </r>
  <r>
    <n v="10203"/>
    <x v="202"/>
    <n v="2037"/>
    <x v="2"/>
    <n v="8"/>
    <n v="114.18"/>
    <n v="0.03"/>
    <x v="1"/>
    <x v="0"/>
    <n v="913.44"/>
    <n v="27.403200000000002"/>
    <n v="886.03680000000008"/>
    <x v="0"/>
    <x v="4"/>
    <x v="0"/>
  </r>
  <r>
    <n v="10204"/>
    <x v="203"/>
    <n v="2097"/>
    <x v="0"/>
    <n v="7"/>
    <n v="212.11"/>
    <n v="0.18"/>
    <x v="2"/>
    <x v="0"/>
    <n v="1484.77"/>
    <n v="267.2586"/>
    <n v="1217.5113999999999"/>
    <x v="0"/>
    <x v="3"/>
    <x v="2"/>
  </r>
  <r>
    <n v="10205"/>
    <x v="204"/>
    <n v="2051"/>
    <x v="3"/>
    <n v="8"/>
    <n v="105.77"/>
    <n v="0.03"/>
    <x v="3"/>
    <x v="0"/>
    <n v="846.16"/>
    <n v="25.384799999999998"/>
    <n v="820.77519999999993"/>
    <x v="0"/>
    <x v="4"/>
    <x v="0"/>
  </r>
  <r>
    <n v="10206"/>
    <x v="205"/>
    <n v="2044"/>
    <x v="0"/>
    <n v="6"/>
    <n v="421.02"/>
    <n v="0.11"/>
    <x v="0"/>
    <x v="1"/>
    <n v="2526.12"/>
    <n v="277.8732"/>
    <n v="2248.2467999999999"/>
    <x v="0"/>
    <x v="2"/>
    <x v="2"/>
  </r>
  <r>
    <n v="10207"/>
    <x v="206"/>
    <n v="2024"/>
    <x v="2"/>
    <n v="9"/>
    <n v="91.23"/>
    <n v="0.17"/>
    <x v="1"/>
    <x v="1"/>
    <n v="821.07"/>
    <n v="139.58190000000002"/>
    <n v="681.48810000000003"/>
    <x v="0"/>
    <x v="4"/>
    <x v="2"/>
  </r>
  <r>
    <n v="10208"/>
    <x v="207"/>
    <n v="2079"/>
    <x v="2"/>
    <n v="5"/>
    <n v="480.59"/>
    <n v="0.12"/>
    <x v="4"/>
    <x v="0"/>
    <n v="2402.9499999999998"/>
    <n v="288.35399999999998"/>
    <n v="2114.596"/>
    <x v="0"/>
    <x v="2"/>
    <x v="2"/>
  </r>
  <r>
    <n v="10209"/>
    <x v="208"/>
    <n v="2059"/>
    <x v="0"/>
    <n v="3"/>
    <n v="210.87"/>
    <n v="0.05"/>
    <x v="3"/>
    <x v="1"/>
    <n v="632.61"/>
    <n v="31.630500000000001"/>
    <n v="600.97950000000003"/>
    <x v="0"/>
    <x v="4"/>
    <x v="0"/>
  </r>
  <r>
    <n v="10210"/>
    <x v="209"/>
    <n v="2032"/>
    <x v="4"/>
    <n v="3"/>
    <n v="423.89"/>
    <n v="0.08"/>
    <x v="4"/>
    <x v="0"/>
    <n v="1271.67"/>
    <n v="101.73360000000001"/>
    <n v="1169.9364"/>
    <x v="0"/>
    <x v="3"/>
    <x v="0"/>
  </r>
  <r>
    <n v="10211"/>
    <x v="210"/>
    <n v="2096"/>
    <x v="1"/>
    <n v="1"/>
    <n v="316.24"/>
    <n v="0.28000000000000003"/>
    <x v="4"/>
    <x v="0"/>
    <n v="316.24"/>
    <n v="88.547200000000018"/>
    <n v="227.69279999999998"/>
    <x v="0"/>
    <x v="1"/>
    <x v="1"/>
  </r>
  <r>
    <n v="10212"/>
    <x v="211"/>
    <n v="2088"/>
    <x v="4"/>
    <n v="8"/>
    <n v="369"/>
    <n v="0.2"/>
    <x v="2"/>
    <x v="1"/>
    <n v="2952"/>
    <n v="590.4"/>
    <n v="2361.6"/>
    <x v="0"/>
    <x v="2"/>
    <x v="1"/>
  </r>
  <r>
    <n v="10213"/>
    <x v="212"/>
    <n v="2052"/>
    <x v="4"/>
    <n v="2"/>
    <n v="385.02"/>
    <n v="0.15"/>
    <x v="2"/>
    <x v="1"/>
    <n v="770.04"/>
    <n v="115.50599999999999"/>
    <n v="654.53399999999999"/>
    <x v="0"/>
    <x v="4"/>
    <x v="2"/>
  </r>
  <r>
    <n v="10214"/>
    <x v="213"/>
    <n v="2062"/>
    <x v="4"/>
    <n v="3"/>
    <n v="254.9"/>
    <n v="0"/>
    <x v="3"/>
    <x v="0"/>
    <n v="764.7"/>
    <n v="0"/>
    <n v="764.7"/>
    <x v="0"/>
    <x v="4"/>
    <x v="0"/>
  </r>
  <r>
    <n v="10215"/>
    <x v="214"/>
    <n v="2058"/>
    <x v="3"/>
    <n v="8"/>
    <n v="273.93"/>
    <n v="0.3"/>
    <x v="0"/>
    <x v="0"/>
    <n v="2191.44"/>
    <n v="657.43200000000002"/>
    <n v="1534.008"/>
    <x v="0"/>
    <x v="3"/>
    <x v="1"/>
  </r>
  <r>
    <n v="10216"/>
    <x v="215"/>
    <n v="2052"/>
    <x v="2"/>
    <n v="8"/>
    <n v="259.43"/>
    <n v="0.2"/>
    <x v="3"/>
    <x v="0"/>
    <n v="2075.44"/>
    <n v="415.08800000000002"/>
    <n v="1660.3520000000001"/>
    <x v="0"/>
    <x v="3"/>
    <x v="1"/>
  </r>
  <r>
    <n v="10217"/>
    <x v="216"/>
    <n v="2012"/>
    <x v="4"/>
    <n v="4"/>
    <n v="296.08999999999997"/>
    <n v="0.1"/>
    <x v="0"/>
    <x v="0"/>
    <n v="1184.3599999999999"/>
    <n v="118.43599999999999"/>
    <n v="1065.924"/>
    <x v="0"/>
    <x v="3"/>
    <x v="2"/>
  </r>
  <r>
    <n v="10218"/>
    <x v="217"/>
    <n v="2039"/>
    <x v="2"/>
    <n v="4"/>
    <n v="19.55"/>
    <n v="0.26"/>
    <x v="4"/>
    <x v="1"/>
    <n v="78.2"/>
    <n v="20.332000000000001"/>
    <n v="57.868000000000002"/>
    <x v="0"/>
    <x v="1"/>
    <x v="1"/>
  </r>
  <r>
    <n v="10219"/>
    <x v="218"/>
    <n v="2002"/>
    <x v="0"/>
    <n v="5"/>
    <n v="200.78"/>
    <n v="0.08"/>
    <x v="1"/>
    <x v="0"/>
    <n v="1003.9"/>
    <n v="80.311999999999998"/>
    <n v="923.58799999999997"/>
    <x v="0"/>
    <x v="4"/>
    <x v="0"/>
  </r>
  <r>
    <n v="10220"/>
    <x v="219"/>
    <n v="2003"/>
    <x v="1"/>
    <n v="6"/>
    <n v="305.06"/>
    <n v="0.16"/>
    <x v="3"/>
    <x v="0"/>
    <n v="1830.3600000000001"/>
    <n v="292.85760000000005"/>
    <n v="1537.5024000000001"/>
    <x v="0"/>
    <x v="3"/>
    <x v="2"/>
  </r>
  <r>
    <n v="10221"/>
    <x v="220"/>
    <n v="2056"/>
    <x v="0"/>
    <n v="5"/>
    <n v="300.87"/>
    <n v="0.19"/>
    <x v="3"/>
    <x v="0"/>
    <n v="1504.35"/>
    <n v="285.82650000000001"/>
    <n v="1218.5234999999998"/>
    <x v="0"/>
    <x v="3"/>
    <x v="2"/>
  </r>
  <r>
    <n v="10222"/>
    <x v="221"/>
    <n v="2081"/>
    <x v="0"/>
    <n v="7"/>
    <n v="397.51"/>
    <n v="7.0000000000000007E-2"/>
    <x v="0"/>
    <x v="1"/>
    <n v="2782.5699999999997"/>
    <n v="194.7799"/>
    <n v="2587.7900999999997"/>
    <x v="0"/>
    <x v="2"/>
    <x v="0"/>
  </r>
  <r>
    <n v="10223"/>
    <x v="222"/>
    <n v="2059"/>
    <x v="3"/>
    <n v="2"/>
    <n v="329.23"/>
    <n v="0.28999999999999998"/>
    <x v="4"/>
    <x v="1"/>
    <n v="658.46"/>
    <n v="190.95339999999999"/>
    <n v="467.50660000000005"/>
    <x v="0"/>
    <x v="1"/>
    <x v="1"/>
  </r>
  <r>
    <n v="10224"/>
    <x v="223"/>
    <n v="2002"/>
    <x v="1"/>
    <n v="7"/>
    <n v="496.11"/>
    <n v="0.22"/>
    <x v="4"/>
    <x v="0"/>
    <n v="3472.77"/>
    <n v="764.00940000000003"/>
    <n v="2708.7606000000001"/>
    <x v="0"/>
    <x v="2"/>
    <x v="1"/>
  </r>
  <r>
    <n v="10225"/>
    <x v="224"/>
    <n v="2002"/>
    <x v="0"/>
    <n v="7"/>
    <n v="145.51"/>
    <n v="0.17"/>
    <x v="0"/>
    <x v="1"/>
    <n v="1018.5699999999999"/>
    <n v="173.15690000000001"/>
    <n v="845.41309999999999"/>
    <x v="0"/>
    <x v="4"/>
    <x v="2"/>
  </r>
  <r>
    <n v="10226"/>
    <x v="225"/>
    <n v="2092"/>
    <x v="0"/>
    <n v="1"/>
    <n v="182.78"/>
    <n v="0.05"/>
    <x v="4"/>
    <x v="1"/>
    <n v="182.78"/>
    <n v="9.1390000000000011"/>
    <n v="173.64099999999999"/>
    <x v="0"/>
    <x v="1"/>
    <x v="0"/>
  </r>
  <r>
    <n v="10227"/>
    <x v="226"/>
    <n v="2054"/>
    <x v="1"/>
    <n v="7"/>
    <n v="195"/>
    <n v="0.02"/>
    <x v="2"/>
    <x v="1"/>
    <n v="1365"/>
    <n v="27.3"/>
    <n v="1337.7"/>
    <x v="0"/>
    <x v="3"/>
    <x v="0"/>
  </r>
  <r>
    <n v="10228"/>
    <x v="227"/>
    <n v="2087"/>
    <x v="1"/>
    <n v="5"/>
    <n v="235.58"/>
    <n v="0.1"/>
    <x v="1"/>
    <x v="0"/>
    <n v="1177.9000000000001"/>
    <n v="117.79000000000002"/>
    <n v="1060.1100000000001"/>
    <x v="0"/>
    <x v="3"/>
    <x v="2"/>
  </r>
  <r>
    <n v="10229"/>
    <x v="228"/>
    <n v="2096"/>
    <x v="0"/>
    <n v="3"/>
    <n v="418.82"/>
    <n v="0.23"/>
    <x v="3"/>
    <x v="0"/>
    <n v="1256.46"/>
    <n v="288.98580000000004"/>
    <n v="967.4742"/>
    <x v="0"/>
    <x v="4"/>
    <x v="1"/>
  </r>
  <r>
    <n v="10230"/>
    <x v="229"/>
    <n v="2097"/>
    <x v="1"/>
    <n v="3"/>
    <n v="121.72"/>
    <n v="0.08"/>
    <x v="1"/>
    <x v="1"/>
    <n v="365.15999999999997"/>
    <n v="29.212799999999998"/>
    <n v="335.94719999999995"/>
    <x v="0"/>
    <x v="1"/>
    <x v="0"/>
  </r>
  <r>
    <n v="10231"/>
    <x v="230"/>
    <n v="2001"/>
    <x v="0"/>
    <n v="4"/>
    <n v="389.12"/>
    <n v="0.16"/>
    <x v="3"/>
    <x v="0"/>
    <n v="1556.48"/>
    <n v="249.0368"/>
    <n v="1307.4431999999999"/>
    <x v="0"/>
    <x v="3"/>
    <x v="2"/>
  </r>
  <r>
    <n v="10232"/>
    <x v="231"/>
    <n v="2019"/>
    <x v="0"/>
    <n v="2"/>
    <n v="205.63"/>
    <n v="0.22"/>
    <x v="2"/>
    <x v="0"/>
    <n v="411.26"/>
    <n v="90.477199999999996"/>
    <n v="320.78280000000001"/>
    <x v="0"/>
    <x v="1"/>
    <x v="1"/>
  </r>
  <r>
    <n v="10233"/>
    <x v="232"/>
    <n v="2002"/>
    <x v="3"/>
    <n v="2"/>
    <n v="302.92"/>
    <n v="0.03"/>
    <x v="4"/>
    <x v="1"/>
    <n v="605.84"/>
    <n v="18.1752"/>
    <n v="587.66480000000001"/>
    <x v="0"/>
    <x v="4"/>
    <x v="0"/>
  </r>
  <r>
    <n v="10234"/>
    <x v="233"/>
    <n v="2053"/>
    <x v="4"/>
    <n v="1"/>
    <n v="318.11"/>
    <n v="0.21"/>
    <x v="0"/>
    <x v="1"/>
    <n v="318.11"/>
    <n v="66.803100000000001"/>
    <n v="251.30690000000001"/>
    <x v="0"/>
    <x v="1"/>
    <x v="1"/>
  </r>
  <r>
    <n v="10235"/>
    <x v="234"/>
    <n v="2044"/>
    <x v="0"/>
    <n v="5"/>
    <n v="189.56"/>
    <n v="0.03"/>
    <x v="2"/>
    <x v="0"/>
    <n v="947.8"/>
    <n v="28.433999999999997"/>
    <n v="919.36599999999999"/>
    <x v="0"/>
    <x v="4"/>
    <x v="0"/>
  </r>
  <r>
    <n v="10236"/>
    <x v="235"/>
    <n v="2090"/>
    <x v="2"/>
    <n v="4"/>
    <n v="258.74"/>
    <n v="0.28999999999999998"/>
    <x v="1"/>
    <x v="1"/>
    <n v="1034.96"/>
    <n v="300.13839999999999"/>
    <n v="734.82159999999999"/>
    <x v="0"/>
    <x v="4"/>
    <x v="1"/>
  </r>
  <r>
    <n v="10237"/>
    <x v="236"/>
    <n v="2032"/>
    <x v="4"/>
    <n v="2"/>
    <n v="209.45"/>
    <n v="0.15"/>
    <x v="0"/>
    <x v="0"/>
    <n v="418.9"/>
    <n v="62.834999999999994"/>
    <n v="356.065"/>
    <x v="0"/>
    <x v="1"/>
    <x v="2"/>
  </r>
  <r>
    <n v="10238"/>
    <x v="237"/>
    <n v="2070"/>
    <x v="4"/>
    <n v="3"/>
    <n v="39.22"/>
    <n v="0.05"/>
    <x v="4"/>
    <x v="0"/>
    <n v="117.66"/>
    <n v="5.883"/>
    <n v="111.777"/>
    <x v="0"/>
    <x v="1"/>
    <x v="0"/>
  </r>
  <r>
    <n v="10239"/>
    <x v="238"/>
    <n v="2032"/>
    <x v="4"/>
    <n v="7"/>
    <n v="221.4"/>
    <n v="0.1"/>
    <x v="2"/>
    <x v="1"/>
    <n v="1549.8"/>
    <n v="154.98000000000002"/>
    <n v="1394.82"/>
    <x v="0"/>
    <x v="3"/>
    <x v="2"/>
  </r>
  <r>
    <n v="10240"/>
    <x v="239"/>
    <n v="2068"/>
    <x v="3"/>
    <n v="7"/>
    <n v="53.21"/>
    <n v="0.12"/>
    <x v="0"/>
    <x v="0"/>
    <n v="372.47"/>
    <n v="44.696400000000004"/>
    <n v="327.77360000000004"/>
    <x v="0"/>
    <x v="1"/>
    <x v="2"/>
  </r>
  <r>
    <n v="10241"/>
    <x v="240"/>
    <n v="2055"/>
    <x v="0"/>
    <n v="4"/>
    <n v="205.49"/>
    <n v="0.23"/>
    <x v="2"/>
    <x v="0"/>
    <n v="821.96"/>
    <n v="189.05080000000001"/>
    <n v="632.90920000000006"/>
    <x v="0"/>
    <x v="4"/>
    <x v="1"/>
  </r>
  <r>
    <n v="10242"/>
    <x v="241"/>
    <n v="2075"/>
    <x v="3"/>
    <n v="5"/>
    <n v="298.49"/>
    <n v="0.22"/>
    <x v="2"/>
    <x v="1"/>
    <n v="1492.45"/>
    <n v="328.339"/>
    <n v="1164.1110000000001"/>
    <x v="0"/>
    <x v="3"/>
    <x v="1"/>
  </r>
  <r>
    <n v="10243"/>
    <x v="242"/>
    <n v="2056"/>
    <x v="0"/>
    <n v="5"/>
    <n v="291.81"/>
    <n v="0.18"/>
    <x v="4"/>
    <x v="1"/>
    <n v="1459.05"/>
    <n v="262.62899999999996"/>
    <n v="1196.421"/>
    <x v="0"/>
    <x v="3"/>
    <x v="2"/>
  </r>
  <r>
    <n v="10244"/>
    <x v="243"/>
    <n v="2017"/>
    <x v="3"/>
    <n v="6"/>
    <n v="333"/>
    <n v="0.03"/>
    <x v="3"/>
    <x v="1"/>
    <n v="1998"/>
    <n v="59.94"/>
    <n v="1938.06"/>
    <x v="0"/>
    <x v="3"/>
    <x v="0"/>
  </r>
  <r>
    <n v="10245"/>
    <x v="244"/>
    <n v="2038"/>
    <x v="3"/>
    <n v="9"/>
    <n v="52.15"/>
    <n v="0.05"/>
    <x v="0"/>
    <x v="0"/>
    <n v="469.34999999999997"/>
    <n v="23.467500000000001"/>
    <n v="445.88249999999994"/>
    <x v="0"/>
    <x v="1"/>
    <x v="0"/>
  </r>
  <r>
    <n v="10246"/>
    <x v="245"/>
    <n v="2024"/>
    <x v="2"/>
    <n v="2"/>
    <n v="327.8"/>
    <n v="0.03"/>
    <x v="4"/>
    <x v="1"/>
    <n v="655.6"/>
    <n v="19.667999999999999"/>
    <n v="635.93200000000002"/>
    <x v="0"/>
    <x v="4"/>
    <x v="0"/>
  </r>
  <r>
    <n v="10247"/>
    <x v="246"/>
    <n v="2069"/>
    <x v="3"/>
    <n v="5"/>
    <n v="159.51"/>
    <n v="0.17"/>
    <x v="2"/>
    <x v="1"/>
    <n v="797.55"/>
    <n v="135.58350000000002"/>
    <n v="661.9665"/>
    <x v="0"/>
    <x v="4"/>
    <x v="2"/>
  </r>
  <r>
    <n v="10248"/>
    <x v="247"/>
    <n v="2098"/>
    <x v="1"/>
    <n v="3"/>
    <n v="202.53"/>
    <n v="0.26"/>
    <x v="4"/>
    <x v="1"/>
    <n v="607.59"/>
    <n v="157.97340000000003"/>
    <n v="449.61660000000001"/>
    <x v="0"/>
    <x v="1"/>
    <x v="1"/>
  </r>
  <r>
    <n v="10249"/>
    <x v="248"/>
    <n v="2070"/>
    <x v="2"/>
    <n v="4"/>
    <n v="429.7"/>
    <n v="0.13"/>
    <x v="3"/>
    <x v="1"/>
    <n v="1718.8"/>
    <n v="223.44399999999999"/>
    <n v="1495.356"/>
    <x v="0"/>
    <x v="3"/>
    <x v="2"/>
  </r>
  <r>
    <n v="10250"/>
    <x v="249"/>
    <n v="2086"/>
    <x v="3"/>
    <n v="6"/>
    <n v="9.4700000000000006"/>
    <n v="0.05"/>
    <x v="0"/>
    <x v="0"/>
    <n v="56.820000000000007"/>
    <n v="2.8410000000000006"/>
    <n v="53.979000000000006"/>
    <x v="0"/>
    <x v="1"/>
    <x v="0"/>
  </r>
  <r>
    <n v="10251"/>
    <x v="250"/>
    <n v="2011"/>
    <x v="4"/>
    <n v="8"/>
    <n v="296.26"/>
    <n v="0.17"/>
    <x v="3"/>
    <x v="0"/>
    <n v="2370.08"/>
    <n v="402.91360000000003"/>
    <n v="1967.1663999999998"/>
    <x v="0"/>
    <x v="3"/>
    <x v="2"/>
  </r>
  <r>
    <n v="10252"/>
    <x v="251"/>
    <n v="2016"/>
    <x v="1"/>
    <n v="1"/>
    <n v="301.36"/>
    <n v="0.24"/>
    <x v="1"/>
    <x v="1"/>
    <n v="301.36"/>
    <n v="72.326400000000007"/>
    <n v="229.03360000000001"/>
    <x v="0"/>
    <x v="1"/>
    <x v="1"/>
  </r>
  <r>
    <n v="10253"/>
    <x v="252"/>
    <n v="2097"/>
    <x v="1"/>
    <n v="8"/>
    <n v="201.35"/>
    <n v="0.22"/>
    <x v="0"/>
    <x v="0"/>
    <n v="1610.8"/>
    <n v="354.37599999999998"/>
    <n v="1256.424"/>
    <x v="0"/>
    <x v="3"/>
    <x v="1"/>
  </r>
  <r>
    <n v="10254"/>
    <x v="253"/>
    <n v="2073"/>
    <x v="1"/>
    <n v="7"/>
    <n v="122.33"/>
    <n v="0.26"/>
    <x v="3"/>
    <x v="1"/>
    <n v="856.31"/>
    <n v="222.64060000000001"/>
    <n v="633.6694"/>
    <x v="0"/>
    <x v="4"/>
    <x v="1"/>
  </r>
  <r>
    <n v="10255"/>
    <x v="254"/>
    <n v="2059"/>
    <x v="2"/>
    <n v="1"/>
    <n v="121.16"/>
    <n v="0.08"/>
    <x v="2"/>
    <x v="1"/>
    <n v="121.16"/>
    <n v="9.6928000000000001"/>
    <n v="111.46719999999999"/>
    <x v="0"/>
    <x v="1"/>
    <x v="0"/>
  </r>
  <r>
    <n v="10256"/>
    <x v="255"/>
    <n v="2070"/>
    <x v="3"/>
    <n v="2"/>
    <n v="442.44"/>
    <n v="0.06"/>
    <x v="0"/>
    <x v="0"/>
    <n v="884.88"/>
    <n v="53.092799999999997"/>
    <n v="831.78719999999998"/>
    <x v="0"/>
    <x v="4"/>
    <x v="0"/>
  </r>
  <r>
    <n v="10257"/>
    <x v="256"/>
    <n v="2080"/>
    <x v="3"/>
    <n v="3"/>
    <n v="223.8"/>
    <n v="0.26"/>
    <x v="0"/>
    <x v="0"/>
    <n v="671.40000000000009"/>
    <n v="174.56400000000002"/>
    <n v="496.83600000000007"/>
    <x v="0"/>
    <x v="1"/>
    <x v="1"/>
  </r>
  <r>
    <n v="10258"/>
    <x v="257"/>
    <n v="2093"/>
    <x v="4"/>
    <n v="1"/>
    <n v="168.79"/>
    <n v="0.2"/>
    <x v="4"/>
    <x v="1"/>
    <n v="168.79"/>
    <n v="33.758000000000003"/>
    <n v="135.03199999999998"/>
    <x v="0"/>
    <x v="1"/>
    <x v="1"/>
  </r>
  <r>
    <n v="10259"/>
    <x v="258"/>
    <n v="2003"/>
    <x v="4"/>
    <n v="9"/>
    <n v="227.14"/>
    <n v="0.09"/>
    <x v="2"/>
    <x v="1"/>
    <n v="2044.2599999999998"/>
    <n v="183.98339999999996"/>
    <n v="1860.2765999999997"/>
    <x v="0"/>
    <x v="3"/>
    <x v="2"/>
  </r>
  <r>
    <n v="10260"/>
    <x v="259"/>
    <n v="2020"/>
    <x v="1"/>
    <n v="8"/>
    <n v="336.35"/>
    <n v="0.22"/>
    <x v="1"/>
    <x v="0"/>
    <n v="2690.8"/>
    <n v="591.976"/>
    <n v="2098.8240000000001"/>
    <x v="0"/>
    <x v="2"/>
    <x v="1"/>
  </r>
  <r>
    <n v="10261"/>
    <x v="260"/>
    <n v="2059"/>
    <x v="4"/>
    <n v="2"/>
    <n v="77.150000000000006"/>
    <n v="0.24"/>
    <x v="3"/>
    <x v="1"/>
    <n v="154.30000000000001"/>
    <n v="37.032000000000004"/>
    <n v="117.268"/>
    <x v="0"/>
    <x v="1"/>
    <x v="1"/>
  </r>
  <r>
    <n v="10262"/>
    <x v="261"/>
    <n v="2036"/>
    <x v="2"/>
    <n v="9"/>
    <n v="227.47"/>
    <n v="0.18"/>
    <x v="4"/>
    <x v="0"/>
    <n v="2047.23"/>
    <n v="368.50139999999999"/>
    <n v="1678.7285999999999"/>
    <x v="0"/>
    <x v="3"/>
    <x v="2"/>
  </r>
  <r>
    <n v="10263"/>
    <x v="262"/>
    <n v="2019"/>
    <x v="3"/>
    <n v="7"/>
    <n v="296"/>
    <n v="0.21"/>
    <x v="3"/>
    <x v="1"/>
    <n v="2072"/>
    <n v="435.12"/>
    <n v="1636.88"/>
    <x v="0"/>
    <x v="3"/>
    <x v="1"/>
  </r>
  <r>
    <n v="10264"/>
    <x v="263"/>
    <n v="2090"/>
    <x v="1"/>
    <n v="9"/>
    <n v="474.55"/>
    <n v="0.11"/>
    <x v="1"/>
    <x v="1"/>
    <n v="4270.95"/>
    <n v="469.80449999999996"/>
    <n v="3801.1454999999996"/>
    <x v="0"/>
    <x v="0"/>
    <x v="2"/>
  </r>
  <r>
    <n v="10265"/>
    <x v="264"/>
    <n v="2067"/>
    <x v="4"/>
    <n v="6"/>
    <n v="130"/>
    <n v="0.16"/>
    <x v="1"/>
    <x v="0"/>
    <n v="780"/>
    <n v="124.8"/>
    <n v="655.20000000000005"/>
    <x v="0"/>
    <x v="4"/>
    <x v="2"/>
  </r>
  <r>
    <n v="10266"/>
    <x v="265"/>
    <n v="2019"/>
    <x v="2"/>
    <n v="6"/>
    <n v="182.83"/>
    <n v="0.16"/>
    <x v="0"/>
    <x v="0"/>
    <n v="1096.98"/>
    <n v="175.51680000000002"/>
    <n v="921.46320000000003"/>
    <x v="0"/>
    <x v="4"/>
    <x v="2"/>
  </r>
  <r>
    <n v="10267"/>
    <x v="266"/>
    <n v="2020"/>
    <x v="2"/>
    <n v="4"/>
    <n v="192.78"/>
    <n v="0.25"/>
    <x v="1"/>
    <x v="0"/>
    <n v="771.12"/>
    <n v="192.78"/>
    <n v="578.34"/>
    <x v="0"/>
    <x v="4"/>
    <x v="1"/>
  </r>
  <r>
    <n v="10268"/>
    <x v="267"/>
    <n v="2096"/>
    <x v="4"/>
    <n v="2"/>
    <n v="304.74"/>
    <n v="0.25"/>
    <x v="3"/>
    <x v="0"/>
    <n v="609.48"/>
    <n v="152.37"/>
    <n v="457.11"/>
    <x v="0"/>
    <x v="1"/>
    <x v="1"/>
  </r>
  <r>
    <n v="10269"/>
    <x v="268"/>
    <n v="2071"/>
    <x v="3"/>
    <n v="7"/>
    <n v="181.58"/>
    <n v="0.25"/>
    <x v="2"/>
    <x v="0"/>
    <n v="1271.0600000000002"/>
    <n v="317.76500000000004"/>
    <n v="953.29500000000007"/>
    <x v="0"/>
    <x v="4"/>
    <x v="1"/>
  </r>
  <r>
    <n v="10270"/>
    <x v="269"/>
    <n v="2052"/>
    <x v="4"/>
    <n v="5"/>
    <n v="269.08999999999997"/>
    <n v="0"/>
    <x v="2"/>
    <x v="0"/>
    <n v="1345.4499999999998"/>
    <n v="0"/>
    <n v="1345.4499999999998"/>
    <x v="0"/>
    <x v="3"/>
    <x v="0"/>
  </r>
  <r>
    <n v="10271"/>
    <x v="270"/>
    <n v="2033"/>
    <x v="1"/>
    <n v="6"/>
    <n v="391.99"/>
    <n v="0.22"/>
    <x v="0"/>
    <x v="0"/>
    <n v="2351.94"/>
    <n v="517.42680000000007"/>
    <n v="1834.5131999999999"/>
    <x v="0"/>
    <x v="3"/>
    <x v="1"/>
  </r>
  <r>
    <n v="10272"/>
    <x v="271"/>
    <n v="2040"/>
    <x v="4"/>
    <n v="2"/>
    <n v="354.17"/>
    <n v="0.23"/>
    <x v="3"/>
    <x v="1"/>
    <n v="708.34"/>
    <n v="162.91820000000001"/>
    <n v="545.42180000000008"/>
    <x v="0"/>
    <x v="4"/>
    <x v="1"/>
  </r>
  <r>
    <n v="10273"/>
    <x v="272"/>
    <n v="2039"/>
    <x v="2"/>
    <n v="5"/>
    <n v="225.95"/>
    <n v="0.2"/>
    <x v="3"/>
    <x v="1"/>
    <n v="1129.75"/>
    <n v="225.95000000000002"/>
    <n v="903.8"/>
    <x v="0"/>
    <x v="4"/>
    <x v="1"/>
  </r>
  <r>
    <n v="10274"/>
    <x v="273"/>
    <n v="2082"/>
    <x v="4"/>
    <n v="4"/>
    <n v="432.79"/>
    <n v="0.23"/>
    <x v="1"/>
    <x v="1"/>
    <n v="1731.16"/>
    <n v="398.16680000000002"/>
    <n v="1332.9932000000001"/>
    <x v="0"/>
    <x v="3"/>
    <x v="1"/>
  </r>
  <r>
    <n v="10275"/>
    <x v="274"/>
    <n v="2001"/>
    <x v="3"/>
    <n v="9"/>
    <n v="281.27999999999997"/>
    <n v="0.25"/>
    <x v="3"/>
    <x v="0"/>
    <n v="2531.5199999999995"/>
    <n v="632.87999999999988"/>
    <n v="1898.6399999999996"/>
    <x v="0"/>
    <x v="3"/>
    <x v="1"/>
  </r>
  <r>
    <n v="10276"/>
    <x v="275"/>
    <n v="2011"/>
    <x v="0"/>
    <n v="6"/>
    <n v="272.25"/>
    <n v="0.14000000000000001"/>
    <x v="4"/>
    <x v="0"/>
    <n v="1633.5"/>
    <n v="228.69000000000003"/>
    <n v="1404.81"/>
    <x v="0"/>
    <x v="3"/>
    <x v="2"/>
  </r>
  <r>
    <n v="10277"/>
    <x v="276"/>
    <n v="2092"/>
    <x v="4"/>
    <n v="2"/>
    <n v="21.92"/>
    <n v="0.15"/>
    <x v="1"/>
    <x v="0"/>
    <n v="43.84"/>
    <n v="6.5760000000000005"/>
    <n v="37.264000000000003"/>
    <x v="0"/>
    <x v="1"/>
    <x v="2"/>
  </r>
  <r>
    <n v="10278"/>
    <x v="277"/>
    <n v="2057"/>
    <x v="3"/>
    <n v="1"/>
    <n v="493.41"/>
    <n v="0.04"/>
    <x v="4"/>
    <x v="1"/>
    <n v="493.41"/>
    <n v="19.7364"/>
    <n v="473.67360000000002"/>
    <x v="0"/>
    <x v="1"/>
    <x v="0"/>
  </r>
  <r>
    <n v="10279"/>
    <x v="278"/>
    <n v="2089"/>
    <x v="3"/>
    <n v="5"/>
    <n v="65.87"/>
    <n v="0.12"/>
    <x v="0"/>
    <x v="0"/>
    <n v="329.35"/>
    <n v="39.521999999999998"/>
    <n v="289.82800000000003"/>
    <x v="0"/>
    <x v="1"/>
    <x v="2"/>
  </r>
  <r>
    <n v="10280"/>
    <x v="279"/>
    <n v="2050"/>
    <x v="2"/>
    <n v="9"/>
    <n v="119.41"/>
    <n v="0.19"/>
    <x v="2"/>
    <x v="0"/>
    <n v="1074.69"/>
    <n v="204.19110000000001"/>
    <n v="870.49890000000005"/>
    <x v="0"/>
    <x v="4"/>
    <x v="2"/>
  </r>
  <r>
    <n v="10281"/>
    <x v="280"/>
    <n v="2023"/>
    <x v="3"/>
    <n v="6"/>
    <n v="30.59"/>
    <n v="0.23"/>
    <x v="0"/>
    <x v="1"/>
    <n v="183.54"/>
    <n v="42.214199999999998"/>
    <n v="141.32579999999999"/>
    <x v="0"/>
    <x v="1"/>
    <x v="1"/>
  </r>
  <r>
    <n v="10282"/>
    <x v="281"/>
    <n v="2031"/>
    <x v="3"/>
    <n v="7"/>
    <n v="321.8"/>
    <n v="7.0000000000000007E-2"/>
    <x v="2"/>
    <x v="0"/>
    <n v="2252.6"/>
    <n v="157.68200000000002"/>
    <n v="2094.9179999999997"/>
    <x v="0"/>
    <x v="2"/>
    <x v="0"/>
  </r>
  <r>
    <n v="10283"/>
    <x v="282"/>
    <n v="2094"/>
    <x v="3"/>
    <n v="5"/>
    <n v="116.23"/>
    <n v="0.04"/>
    <x v="0"/>
    <x v="1"/>
    <n v="581.15"/>
    <n v="23.245999999999999"/>
    <n v="557.904"/>
    <x v="0"/>
    <x v="4"/>
    <x v="0"/>
  </r>
  <r>
    <n v="10284"/>
    <x v="283"/>
    <n v="2042"/>
    <x v="3"/>
    <n v="6"/>
    <n v="94.11"/>
    <n v="0.2"/>
    <x v="3"/>
    <x v="1"/>
    <n v="564.66"/>
    <n v="112.932"/>
    <n v="451.72799999999995"/>
    <x v="0"/>
    <x v="1"/>
    <x v="1"/>
  </r>
  <r>
    <n v="10285"/>
    <x v="284"/>
    <n v="2099"/>
    <x v="1"/>
    <n v="5"/>
    <n v="48.84"/>
    <n v="0"/>
    <x v="4"/>
    <x v="0"/>
    <n v="244.20000000000002"/>
    <n v="0"/>
    <n v="244.20000000000002"/>
    <x v="0"/>
    <x v="1"/>
    <x v="0"/>
  </r>
  <r>
    <n v="10286"/>
    <x v="285"/>
    <n v="2007"/>
    <x v="1"/>
    <n v="9"/>
    <n v="56.14"/>
    <n v="0.05"/>
    <x v="2"/>
    <x v="0"/>
    <n v="505.26"/>
    <n v="25.263000000000002"/>
    <n v="479.99700000000001"/>
    <x v="0"/>
    <x v="1"/>
    <x v="0"/>
  </r>
  <r>
    <n v="10287"/>
    <x v="286"/>
    <n v="2016"/>
    <x v="2"/>
    <n v="6"/>
    <n v="294.41000000000003"/>
    <n v="0.01"/>
    <x v="1"/>
    <x v="0"/>
    <n v="1766.46"/>
    <n v="17.6646"/>
    <n v="1748.7954"/>
    <x v="0"/>
    <x v="3"/>
    <x v="0"/>
  </r>
  <r>
    <n v="10288"/>
    <x v="287"/>
    <n v="2090"/>
    <x v="4"/>
    <n v="8"/>
    <n v="345.66"/>
    <n v="0.05"/>
    <x v="4"/>
    <x v="1"/>
    <n v="2765.28"/>
    <n v="138.26400000000001"/>
    <n v="2627.0160000000001"/>
    <x v="0"/>
    <x v="2"/>
    <x v="0"/>
  </r>
  <r>
    <n v="10289"/>
    <x v="288"/>
    <n v="2060"/>
    <x v="3"/>
    <n v="2"/>
    <n v="201.7"/>
    <n v="0.05"/>
    <x v="1"/>
    <x v="1"/>
    <n v="403.4"/>
    <n v="20.170000000000002"/>
    <n v="383.22999999999996"/>
    <x v="0"/>
    <x v="1"/>
    <x v="0"/>
  </r>
  <r>
    <n v="10290"/>
    <x v="289"/>
    <n v="2002"/>
    <x v="4"/>
    <n v="9"/>
    <n v="242.55"/>
    <n v="0.12"/>
    <x v="4"/>
    <x v="1"/>
    <n v="2182.9500000000003"/>
    <n v="261.95400000000001"/>
    <n v="1920.9960000000003"/>
    <x v="0"/>
    <x v="3"/>
    <x v="2"/>
  </r>
  <r>
    <n v="10291"/>
    <x v="290"/>
    <n v="2001"/>
    <x v="4"/>
    <n v="5"/>
    <n v="344.55"/>
    <n v="0.12"/>
    <x v="4"/>
    <x v="0"/>
    <n v="1722.75"/>
    <n v="206.73"/>
    <n v="1516.02"/>
    <x v="0"/>
    <x v="3"/>
    <x v="2"/>
  </r>
  <r>
    <n v="10292"/>
    <x v="291"/>
    <n v="2048"/>
    <x v="2"/>
    <n v="7"/>
    <n v="13.6"/>
    <n v="0.26"/>
    <x v="0"/>
    <x v="0"/>
    <n v="95.2"/>
    <n v="24.752000000000002"/>
    <n v="70.448000000000008"/>
    <x v="0"/>
    <x v="1"/>
    <x v="1"/>
  </r>
  <r>
    <n v="10293"/>
    <x v="292"/>
    <n v="2012"/>
    <x v="3"/>
    <n v="1"/>
    <n v="164.95"/>
    <n v="0.15"/>
    <x v="2"/>
    <x v="0"/>
    <n v="164.95"/>
    <n v="24.742499999999996"/>
    <n v="140.20749999999998"/>
    <x v="0"/>
    <x v="1"/>
    <x v="2"/>
  </r>
  <r>
    <n v="10294"/>
    <x v="293"/>
    <n v="2069"/>
    <x v="3"/>
    <n v="5"/>
    <n v="486.68"/>
    <n v="0.22"/>
    <x v="2"/>
    <x v="0"/>
    <n v="2433.4"/>
    <n v="535.34800000000007"/>
    <n v="1898.0520000000001"/>
    <x v="0"/>
    <x v="3"/>
    <x v="1"/>
  </r>
  <r>
    <n v="10295"/>
    <x v="294"/>
    <n v="2037"/>
    <x v="0"/>
    <n v="2"/>
    <n v="292.16000000000003"/>
    <n v="0.03"/>
    <x v="4"/>
    <x v="1"/>
    <n v="584.32000000000005"/>
    <n v="17.529600000000002"/>
    <n v="566.79040000000009"/>
    <x v="0"/>
    <x v="4"/>
    <x v="0"/>
  </r>
  <r>
    <n v="10296"/>
    <x v="295"/>
    <n v="2032"/>
    <x v="4"/>
    <n v="6"/>
    <n v="130.84"/>
    <n v="7.0000000000000007E-2"/>
    <x v="3"/>
    <x v="1"/>
    <n v="785.04"/>
    <n v="54.952800000000003"/>
    <n v="730.08719999999994"/>
    <x v="0"/>
    <x v="4"/>
    <x v="0"/>
  </r>
  <r>
    <n v="10297"/>
    <x v="296"/>
    <n v="2009"/>
    <x v="4"/>
    <n v="1"/>
    <n v="263.26"/>
    <n v="0.21"/>
    <x v="3"/>
    <x v="1"/>
    <n v="263.26"/>
    <n v="55.284599999999998"/>
    <n v="207.97539999999998"/>
    <x v="0"/>
    <x v="1"/>
    <x v="1"/>
  </r>
  <r>
    <n v="10298"/>
    <x v="297"/>
    <n v="2099"/>
    <x v="1"/>
    <n v="3"/>
    <n v="174.61"/>
    <n v="0.02"/>
    <x v="1"/>
    <x v="1"/>
    <n v="523.83000000000004"/>
    <n v="10.476600000000001"/>
    <n v="513.35340000000008"/>
    <x v="0"/>
    <x v="4"/>
    <x v="0"/>
  </r>
  <r>
    <n v="10299"/>
    <x v="298"/>
    <n v="2019"/>
    <x v="0"/>
    <n v="5"/>
    <n v="268.45999999999998"/>
    <n v="0.15"/>
    <x v="1"/>
    <x v="0"/>
    <n v="1342.3"/>
    <n v="201.345"/>
    <n v="1140.9549999999999"/>
    <x v="0"/>
    <x v="3"/>
    <x v="2"/>
  </r>
  <r>
    <n v="10300"/>
    <x v="299"/>
    <n v="2048"/>
    <x v="1"/>
    <n v="4"/>
    <n v="67.239999999999995"/>
    <n v="0.18"/>
    <x v="0"/>
    <x v="0"/>
    <n v="268.95999999999998"/>
    <n v="48.412799999999997"/>
    <n v="220.54719999999998"/>
    <x v="0"/>
    <x v="1"/>
    <x v="2"/>
  </r>
  <r>
    <n v="10301"/>
    <x v="300"/>
    <n v="2080"/>
    <x v="1"/>
    <n v="3"/>
    <n v="70.69"/>
    <n v="0.18"/>
    <x v="4"/>
    <x v="0"/>
    <n v="212.07"/>
    <n v="38.172599999999996"/>
    <n v="173.8974"/>
    <x v="0"/>
    <x v="1"/>
    <x v="2"/>
  </r>
  <r>
    <n v="10302"/>
    <x v="301"/>
    <n v="2003"/>
    <x v="1"/>
    <n v="5"/>
    <n v="76.05"/>
    <n v="0.01"/>
    <x v="1"/>
    <x v="1"/>
    <n v="380.25"/>
    <n v="3.8025000000000002"/>
    <n v="376.44749999999999"/>
    <x v="0"/>
    <x v="1"/>
    <x v="0"/>
  </r>
  <r>
    <n v="10303"/>
    <x v="302"/>
    <n v="2020"/>
    <x v="2"/>
    <n v="8"/>
    <n v="470.21"/>
    <n v="0.1"/>
    <x v="1"/>
    <x v="1"/>
    <n v="3761.68"/>
    <n v="376.16800000000001"/>
    <n v="3385.5119999999997"/>
    <x v="0"/>
    <x v="0"/>
    <x v="2"/>
  </r>
  <r>
    <n v="10304"/>
    <x v="303"/>
    <n v="2024"/>
    <x v="2"/>
    <n v="4"/>
    <n v="367.78"/>
    <n v="0.19"/>
    <x v="4"/>
    <x v="0"/>
    <n v="1471.12"/>
    <n v="279.51279999999997"/>
    <n v="1191.6071999999999"/>
    <x v="0"/>
    <x v="3"/>
    <x v="2"/>
  </r>
  <r>
    <n v="10305"/>
    <x v="304"/>
    <n v="2054"/>
    <x v="1"/>
    <n v="1"/>
    <n v="85.38"/>
    <n v="0.04"/>
    <x v="0"/>
    <x v="0"/>
    <n v="85.38"/>
    <n v="3.4152"/>
    <n v="81.964799999999997"/>
    <x v="0"/>
    <x v="1"/>
    <x v="0"/>
  </r>
  <r>
    <n v="10306"/>
    <x v="305"/>
    <n v="2033"/>
    <x v="0"/>
    <n v="7"/>
    <n v="98.23"/>
    <n v="0.21"/>
    <x v="1"/>
    <x v="1"/>
    <n v="687.61"/>
    <n v="144.3981"/>
    <n v="543.21190000000001"/>
    <x v="0"/>
    <x v="4"/>
    <x v="1"/>
  </r>
  <r>
    <n v="10307"/>
    <x v="306"/>
    <n v="2024"/>
    <x v="4"/>
    <n v="8"/>
    <n v="366.76"/>
    <n v="0.22"/>
    <x v="0"/>
    <x v="0"/>
    <n v="2934.08"/>
    <n v="645.49760000000003"/>
    <n v="2288.5823999999998"/>
    <x v="0"/>
    <x v="2"/>
    <x v="1"/>
  </r>
  <r>
    <n v="10308"/>
    <x v="307"/>
    <n v="2075"/>
    <x v="0"/>
    <n v="3"/>
    <n v="82.3"/>
    <n v="0.28999999999999998"/>
    <x v="2"/>
    <x v="1"/>
    <n v="246.89999999999998"/>
    <n v="71.600999999999985"/>
    <n v="175.29899999999998"/>
    <x v="0"/>
    <x v="1"/>
    <x v="1"/>
  </r>
  <r>
    <n v="10309"/>
    <x v="308"/>
    <n v="2072"/>
    <x v="3"/>
    <n v="6"/>
    <n v="121.11"/>
    <n v="0.06"/>
    <x v="0"/>
    <x v="1"/>
    <n v="726.66"/>
    <n v="43.599599999999995"/>
    <n v="683.06039999999996"/>
    <x v="0"/>
    <x v="4"/>
    <x v="0"/>
  </r>
  <r>
    <n v="10310"/>
    <x v="309"/>
    <n v="2036"/>
    <x v="2"/>
    <n v="2"/>
    <n v="481.86"/>
    <n v="0.25"/>
    <x v="3"/>
    <x v="1"/>
    <n v="963.72"/>
    <n v="240.93"/>
    <n v="722.79"/>
    <x v="0"/>
    <x v="4"/>
    <x v="1"/>
  </r>
  <r>
    <n v="10311"/>
    <x v="310"/>
    <n v="2038"/>
    <x v="4"/>
    <n v="7"/>
    <n v="131.38"/>
    <n v="0.16"/>
    <x v="3"/>
    <x v="0"/>
    <n v="919.66"/>
    <n v="147.1456"/>
    <n v="772.51440000000002"/>
    <x v="0"/>
    <x v="4"/>
    <x v="2"/>
  </r>
  <r>
    <n v="10312"/>
    <x v="311"/>
    <n v="2084"/>
    <x v="4"/>
    <n v="8"/>
    <n v="332.51"/>
    <n v="0.11"/>
    <x v="0"/>
    <x v="0"/>
    <n v="2660.08"/>
    <n v="292.60879999999997"/>
    <n v="2367.4712"/>
    <x v="0"/>
    <x v="2"/>
    <x v="2"/>
  </r>
  <r>
    <n v="10313"/>
    <x v="312"/>
    <n v="2099"/>
    <x v="3"/>
    <n v="6"/>
    <n v="489.42"/>
    <n v="0.04"/>
    <x v="3"/>
    <x v="1"/>
    <n v="2936.52"/>
    <n v="117.46080000000001"/>
    <n v="2819.0592000000001"/>
    <x v="0"/>
    <x v="2"/>
    <x v="0"/>
  </r>
  <r>
    <n v="10314"/>
    <x v="313"/>
    <n v="2089"/>
    <x v="3"/>
    <n v="6"/>
    <n v="190.28"/>
    <n v="0.22"/>
    <x v="2"/>
    <x v="0"/>
    <n v="1141.68"/>
    <n v="251.1696"/>
    <n v="890.51040000000012"/>
    <x v="0"/>
    <x v="4"/>
    <x v="1"/>
  </r>
  <r>
    <n v="10315"/>
    <x v="314"/>
    <n v="2099"/>
    <x v="1"/>
    <n v="5"/>
    <n v="13.67"/>
    <n v="7.0000000000000007E-2"/>
    <x v="4"/>
    <x v="1"/>
    <n v="68.349999999999994"/>
    <n v="4.7845000000000004"/>
    <n v="63.565499999999993"/>
    <x v="0"/>
    <x v="1"/>
    <x v="0"/>
  </r>
  <r>
    <n v="10316"/>
    <x v="315"/>
    <n v="2025"/>
    <x v="2"/>
    <n v="8"/>
    <n v="125.85"/>
    <n v="0.11"/>
    <x v="3"/>
    <x v="1"/>
    <n v="1006.8"/>
    <n v="110.74799999999999"/>
    <n v="896.05199999999991"/>
    <x v="0"/>
    <x v="4"/>
    <x v="2"/>
  </r>
  <r>
    <n v="10317"/>
    <x v="316"/>
    <n v="2093"/>
    <x v="2"/>
    <n v="1"/>
    <n v="416.28"/>
    <n v="0.02"/>
    <x v="3"/>
    <x v="1"/>
    <n v="416.28"/>
    <n v="8.3255999999999997"/>
    <n v="407.95439999999996"/>
    <x v="0"/>
    <x v="1"/>
    <x v="0"/>
  </r>
  <r>
    <n v="10318"/>
    <x v="317"/>
    <n v="2018"/>
    <x v="0"/>
    <n v="4"/>
    <n v="432.98"/>
    <n v="0.24"/>
    <x v="0"/>
    <x v="1"/>
    <n v="1731.92"/>
    <n v="415.66079999999999"/>
    <n v="1316.2592"/>
    <x v="0"/>
    <x v="3"/>
    <x v="1"/>
  </r>
  <r>
    <n v="10319"/>
    <x v="318"/>
    <n v="2082"/>
    <x v="1"/>
    <n v="4"/>
    <n v="385.42"/>
    <n v="0.23"/>
    <x v="2"/>
    <x v="0"/>
    <n v="1541.68"/>
    <n v="354.58640000000003"/>
    <n v="1187.0936000000002"/>
    <x v="0"/>
    <x v="3"/>
    <x v="1"/>
  </r>
  <r>
    <n v="10320"/>
    <x v="319"/>
    <n v="2066"/>
    <x v="1"/>
    <n v="3"/>
    <n v="60.99"/>
    <n v="0.22"/>
    <x v="4"/>
    <x v="1"/>
    <n v="182.97"/>
    <n v="40.253399999999999"/>
    <n v="142.7166"/>
    <x v="0"/>
    <x v="1"/>
    <x v="1"/>
  </r>
  <r>
    <n v="10321"/>
    <x v="320"/>
    <n v="2054"/>
    <x v="1"/>
    <n v="3"/>
    <n v="398.78"/>
    <n v="0.09"/>
    <x v="0"/>
    <x v="1"/>
    <n v="1196.3399999999999"/>
    <n v="107.67059999999999"/>
    <n v="1088.6694"/>
    <x v="0"/>
    <x v="3"/>
    <x v="2"/>
  </r>
  <r>
    <n v="10322"/>
    <x v="321"/>
    <n v="2035"/>
    <x v="1"/>
    <n v="4"/>
    <n v="459.75"/>
    <n v="0.05"/>
    <x v="0"/>
    <x v="0"/>
    <n v="1839"/>
    <n v="91.95"/>
    <n v="1747.05"/>
    <x v="0"/>
    <x v="3"/>
    <x v="0"/>
  </r>
  <r>
    <n v="10323"/>
    <x v="322"/>
    <n v="2080"/>
    <x v="2"/>
    <n v="1"/>
    <n v="302.3"/>
    <n v="0.19"/>
    <x v="2"/>
    <x v="1"/>
    <n v="302.3"/>
    <n v="57.437000000000005"/>
    <n v="244.863"/>
    <x v="0"/>
    <x v="1"/>
    <x v="2"/>
  </r>
  <r>
    <n v="10324"/>
    <x v="323"/>
    <n v="2061"/>
    <x v="2"/>
    <n v="2"/>
    <n v="470.73"/>
    <n v="0.15"/>
    <x v="4"/>
    <x v="1"/>
    <n v="941.46"/>
    <n v="141.21899999999999"/>
    <n v="800.24099999999999"/>
    <x v="0"/>
    <x v="4"/>
    <x v="2"/>
  </r>
  <r>
    <n v="10325"/>
    <x v="324"/>
    <n v="2041"/>
    <x v="1"/>
    <n v="9"/>
    <n v="414.29"/>
    <n v="0.05"/>
    <x v="2"/>
    <x v="0"/>
    <n v="3728.61"/>
    <n v="186.43050000000002"/>
    <n v="3542.1795000000002"/>
    <x v="0"/>
    <x v="0"/>
    <x v="0"/>
  </r>
  <r>
    <n v="10326"/>
    <x v="325"/>
    <n v="2100"/>
    <x v="0"/>
    <n v="2"/>
    <n v="335.15"/>
    <n v="0.21"/>
    <x v="4"/>
    <x v="0"/>
    <n v="670.3"/>
    <n v="140.76299999999998"/>
    <n v="529.53700000000003"/>
    <x v="0"/>
    <x v="4"/>
    <x v="1"/>
  </r>
  <r>
    <n v="10327"/>
    <x v="326"/>
    <n v="2033"/>
    <x v="4"/>
    <n v="5"/>
    <n v="290.70999999999998"/>
    <n v="0.3"/>
    <x v="2"/>
    <x v="0"/>
    <n v="1453.55"/>
    <n v="436.065"/>
    <n v="1017.4849999999999"/>
    <x v="0"/>
    <x v="3"/>
    <x v="1"/>
  </r>
  <r>
    <n v="10328"/>
    <x v="327"/>
    <n v="2068"/>
    <x v="4"/>
    <n v="9"/>
    <n v="177.54"/>
    <n v="0.22"/>
    <x v="0"/>
    <x v="1"/>
    <n v="1597.86"/>
    <n v="351.5292"/>
    <n v="1246.3308"/>
    <x v="0"/>
    <x v="3"/>
    <x v="1"/>
  </r>
  <r>
    <n v="10329"/>
    <x v="328"/>
    <n v="2033"/>
    <x v="0"/>
    <n v="9"/>
    <n v="83.85"/>
    <n v="0.22"/>
    <x v="0"/>
    <x v="0"/>
    <n v="754.65"/>
    <n v="166.023"/>
    <n v="588.62699999999995"/>
    <x v="0"/>
    <x v="4"/>
    <x v="1"/>
  </r>
  <r>
    <n v="10330"/>
    <x v="329"/>
    <n v="2014"/>
    <x v="1"/>
    <n v="8"/>
    <n v="304.45"/>
    <n v="0.28999999999999998"/>
    <x v="1"/>
    <x v="0"/>
    <n v="2435.6"/>
    <n v="706.32399999999996"/>
    <n v="1729.2759999999998"/>
    <x v="0"/>
    <x v="3"/>
    <x v="1"/>
  </r>
  <r>
    <n v="10331"/>
    <x v="330"/>
    <n v="2021"/>
    <x v="2"/>
    <n v="1"/>
    <n v="162.47"/>
    <n v="0.06"/>
    <x v="3"/>
    <x v="1"/>
    <n v="162.47"/>
    <n v="9.7481999999999989"/>
    <n v="152.7218"/>
    <x v="0"/>
    <x v="1"/>
    <x v="0"/>
  </r>
  <r>
    <n v="10332"/>
    <x v="331"/>
    <n v="2048"/>
    <x v="4"/>
    <n v="1"/>
    <n v="433.89"/>
    <n v="0.17"/>
    <x v="2"/>
    <x v="1"/>
    <n v="433.89"/>
    <n v="73.761300000000006"/>
    <n v="360.12869999999998"/>
    <x v="0"/>
    <x v="1"/>
    <x v="2"/>
  </r>
  <r>
    <n v="10333"/>
    <x v="332"/>
    <n v="2020"/>
    <x v="3"/>
    <n v="9"/>
    <n v="496.7"/>
    <n v="0.28999999999999998"/>
    <x v="1"/>
    <x v="1"/>
    <n v="4470.3"/>
    <n v="1296.3869999999999"/>
    <n v="3173.9130000000005"/>
    <x v="0"/>
    <x v="0"/>
    <x v="1"/>
  </r>
  <r>
    <n v="10334"/>
    <x v="333"/>
    <n v="2008"/>
    <x v="3"/>
    <n v="8"/>
    <n v="377.45"/>
    <n v="0.05"/>
    <x v="3"/>
    <x v="1"/>
    <n v="3019.6"/>
    <n v="150.97999999999999"/>
    <n v="2868.62"/>
    <x v="0"/>
    <x v="2"/>
    <x v="0"/>
  </r>
  <r>
    <n v="10335"/>
    <x v="334"/>
    <n v="2007"/>
    <x v="0"/>
    <n v="9"/>
    <n v="49.79"/>
    <n v="0.21"/>
    <x v="2"/>
    <x v="1"/>
    <n v="448.11"/>
    <n v="94.103099999999998"/>
    <n v="354.00690000000003"/>
    <x v="0"/>
    <x v="1"/>
    <x v="1"/>
  </r>
  <r>
    <n v="10336"/>
    <x v="335"/>
    <n v="2067"/>
    <x v="1"/>
    <n v="7"/>
    <n v="147.9"/>
    <n v="0.18"/>
    <x v="4"/>
    <x v="0"/>
    <n v="1035.3"/>
    <n v="186.35399999999998"/>
    <n v="848.94599999999991"/>
    <x v="0"/>
    <x v="4"/>
    <x v="2"/>
  </r>
  <r>
    <n v="10337"/>
    <x v="336"/>
    <n v="2017"/>
    <x v="4"/>
    <n v="3"/>
    <n v="59.01"/>
    <n v="0.18"/>
    <x v="3"/>
    <x v="0"/>
    <n v="177.03"/>
    <n v="31.865399999999998"/>
    <n v="145.16460000000001"/>
    <x v="0"/>
    <x v="1"/>
    <x v="2"/>
  </r>
  <r>
    <n v="10338"/>
    <x v="337"/>
    <n v="2033"/>
    <x v="1"/>
    <n v="3"/>
    <n v="327"/>
    <n v="0.21"/>
    <x v="0"/>
    <x v="0"/>
    <n v="981"/>
    <n v="206.01"/>
    <n v="774.99"/>
    <x v="0"/>
    <x v="4"/>
    <x v="1"/>
  </r>
  <r>
    <n v="10339"/>
    <x v="338"/>
    <n v="2048"/>
    <x v="4"/>
    <n v="2"/>
    <n v="383.77"/>
    <n v="0.28000000000000003"/>
    <x v="1"/>
    <x v="1"/>
    <n v="767.54"/>
    <n v="214.91120000000001"/>
    <n v="552.62879999999996"/>
    <x v="0"/>
    <x v="4"/>
    <x v="1"/>
  </r>
  <r>
    <n v="10340"/>
    <x v="339"/>
    <n v="2076"/>
    <x v="0"/>
    <n v="5"/>
    <n v="463.21"/>
    <n v="0.23"/>
    <x v="3"/>
    <x v="1"/>
    <n v="2316.0499999999997"/>
    <n v="532.69149999999991"/>
    <n v="1783.3584999999998"/>
    <x v="0"/>
    <x v="3"/>
    <x v="1"/>
  </r>
  <r>
    <n v="10341"/>
    <x v="340"/>
    <n v="2059"/>
    <x v="0"/>
    <n v="3"/>
    <n v="221.9"/>
    <n v="0.02"/>
    <x v="3"/>
    <x v="1"/>
    <n v="665.7"/>
    <n v="13.314000000000002"/>
    <n v="652.38600000000008"/>
    <x v="0"/>
    <x v="4"/>
    <x v="0"/>
  </r>
  <r>
    <n v="10342"/>
    <x v="341"/>
    <n v="2086"/>
    <x v="3"/>
    <n v="6"/>
    <n v="451.18"/>
    <n v="0.26"/>
    <x v="0"/>
    <x v="0"/>
    <n v="2707.08"/>
    <n v="703.84080000000006"/>
    <n v="2003.2392"/>
    <x v="0"/>
    <x v="2"/>
    <x v="1"/>
  </r>
  <r>
    <n v="10343"/>
    <x v="342"/>
    <n v="2022"/>
    <x v="1"/>
    <n v="2"/>
    <n v="439.56"/>
    <n v="7.0000000000000007E-2"/>
    <x v="2"/>
    <x v="0"/>
    <n v="879.12"/>
    <n v="61.538400000000003"/>
    <n v="817.58159999999998"/>
    <x v="0"/>
    <x v="4"/>
    <x v="0"/>
  </r>
  <r>
    <n v="10344"/>
    <x v="343"/>
    <n v="2030"/>
    <x v="3"/>
    <n v="3"/>
    <n v="162.01"/>
    <n v="0.11"/>
    <x v="4"/>
    <x v="1"/>
    <n v="486.03"/>
    <n v="53.463299999999997"/>
    <n v="432.56669999999997"/>
    <x v="0"/>
    <x v="1"/>
    <x v="2"/>
  </r>
  <r>
    <n v="10345"/>
    <x v="344"/>
    <n v="2038"/>
    <x v="1"/>
    <n v="5"/>
    <n v="435.11"/>
    <n v="0.14000000000000001"/>
    <x v="0"/>
    <x v="0"/>
    <n v="2175.5500000000002"/>
    <n v="304.57700000000006"/>
    <n v="1870.9730000000002"/>
    <x v="0"/>
    <x v="3"/>
    <x v="2"/>
  </r>
  <r>
    <n v="10346"/>
    <x v="345"/>
    <n v="2051"/>
    <x v="3"/>
    <n v="1"/>
    <n v="190.96"/>
    <n v="0.14000000000000001"/>
    <x v="4"/>
    <x v="1"/>
    <n v="190.96"/>
    <n v="26.734400000000004"/>
    <n v="164.22560000000001"/>
    <x v="0"/>
    <x v="1"/>
    <x v="2"/>
  </r>
  <r>
    <n v="10347"/>
    <x v="346"/>
    <n v="2054"/>
    <x v="2"/>
    <n v="1"/>
    <n v="151.94999999999999"/>
    <n v="0.13"/>
    <x v="2"/>
    <x v="0"/>
    <n v="151.94999999999999"/>
    <n v="19.753499999999999"/>
    <n v="132.19649999999999"/>
    <x v="0"/>
    <x v="1"/>
    <x v="2"/>
  </r>
  <r>
    <n v="10348"/>
    <x v="347"/>
    <n v="2008"/>
    <x v="2"/>
    <n v="9"/>
    <n v="326.29000000000002"/>
    <n v="0.28000000000000003"/>
    <x v="3"/>
    <x v="0"/>
    <n v="2936.61"/>
    <n v="822.25080000000014"/>
    <n v="2114.3591999999999"/>
    <x v="0"/>
    <x v="2"/>
    <x v="1"/>
  </r>
  <r>
    <n v="10349"/>
    <x v="348"/>
    <n v="2027"/>
    <x v="2"/>
    <n v="7"/>
    <n v="167.55"/>
    <n v="0.21"/>
    <x v="4"/>
    <x v="0"/>
    <n v="1172.8500000000001"/>
    <n v="246.29850000000002"/>
    <n v="926.55150000000015"/>
    <x v="0"/>
    <x v="4"/>
    <x v="1"/>
  </r>
  <r>
    <n v="10350"/>
    <x v="349"/>
    <n v="2027"/>
    <x v="2"/>
    <n v="1"/>
    <n v="316.95"/>
    <n v="0.19"/>
    <x v="1"/>
    <x v="1"/>
    <n v="316.95"/>
    <n v="60.220500000000001"/>
    <n v="256.72949999999997"/>
    <x v="0"/>
    <x v="1"/>
    <x v="2"/>
  </r>
  <r>
    <n v="10351"/>
    <x v="350"/>
    <n v="2098"/>
    <x v="4"/>
    <n v="8"/>
    <n v="306.87"/>
    <n v="0.01"/>
    <x v="1"/>
    <x v="0"/>
    <n v="2454.96"/>
    <n v="24.549600000000002"/>
    <n v="2430.4104000000002"/>
    <x v="0"/>
    <x v="2"/>
    <x v="0"/>
  </r>
  <r>
    <n v="10352"/>
    <x v="351"/>
    <n v="2021"/>
    <x v="2"/>
    <n v="3"/>
    <n v="283.89999999999998"/>
    <n v="0.27"/>
    <x v="0"/>
    <x v="0"/>
    <n v="851.69999999999993"/>
    <n v="229.959"/>
    <n v="621.74099999999999"/>
    <x v="0"/>
    <x v="4"/>
    <x v="1"/>
  </r>
  <r>
    <n v="10353"/>
    <x v="352"/>
    <n v="2030"/>
    <x v="0"/>
    <n v="8"/>
    <n v="193.31"/>
    <n v="0.27"/>
    <x v="2"/>
    <x v="1"/>
    <n v="1546.48"/>
    <n v="417.54960000000005"/>
    <n v="1128.9304"/>
    <x v="0"/>
    <x v="3"/>
    <x v="1"/>
  </r>
  <r>
    <n v="10354"/>
    <x v="353"/>
    <n v="2097"/>
    <x v="0"/>
    <n v="5"/>
    <n v="276.51"/>
    <n v="0.23"/>
    <x v="0"/>
    <x v="0"/>
    <n v="1382.55"/>
    <n v="317.98649999999998"/>
    <n v="1064.5635"/>
    <x v="0"/>
    <x v="3"/>
    <x v="1"/>
  </r>
  <r>
    <n v="10355"/>
    <x v="354"/>
    <n v="2028"/>
    <x v="4"/>
    <n v="1"/>
    <n v="300.26"/>
    <n v="0"/>
    <x v="0"/>
    <x v="1"/>
    <n v="300.26"/>
    <n v="0"/>
    <n v="300.26"/>
    <x v="0"/>
    <x v="1"/>
    <x v="0"/>
  </r>
  <r>
    <n v="10356"/>
    <x v="355"/>
    <n v="2064"/>
    <x v="2"/>
    <n v="7"/>
    <n v="275.12"/>
    <n v="0.02"/>
    <x v="0"/>
    <x v="1"/>
    <n v="1925.8400000000001"/>
    <n v="38.516800000000003"/>
    <n v="1887.3232"/>
    <x v="0"/>
    <x v="3"/>
    <x v="0"/>
  </r>
  <r>
    <n v="10357"/>
    <x v="356"/>
    <n v="2097"/>
    <x v="2"/>
    <n v="5"/>
    <n v="224.99"/>
    <n v="7.0000000000000007E-2"/>
    <x v="1"/>
    <x v="1"/>
    <n v="1124.95"/>
    <n v="78.746500000000012"/>
    <n v="1046.2035000000001"/>
    <x v="0"/>
    <x v="3"/>
    <x v="0"/>
  </r>
  <r>
    <n v="10358"/>
    <x v="357"/>
    <n v="2069"/>
    <x v="2"/>
    <n v="6"/>
    <n v="12.26"/>
    <n v="0.04"/>
    <x v="1"/>
    <x v="1"/>
    <n v="73.56"/>
    <n v="2.9424000000000001"/>
    <n v="70.617599999999996"/>
    <x v="0"/>
    <x v="1"/>
    <x v="0"/>
  </r>
  <r>
    <n v="10359"/>
    <x v="358"/>
    <n v="2061"/>
    <x v="3"/>
    <n v="6"/>
    <n v="295.60000000000002"/>
    <n v="0.12"/>
    <x v="0"/>
    <x v="1"/>
    <n v="1773.6000000000001"/>
    <n v="212.83200000000002"/>
    <n v="1560.768"/>
    <x v="0"/>
    <x v="3"/>
    <x v="2"/>
  </r>
  <r>
    <n v="10360"/>
    <x v="359"/>
    <n v="2048"/>
    <x v="1"/>
    <n v="8"/>
    <n v="88.38"/>
    <n v="0.28000000000000003"/>
    <x v="1"/>
    <x v="0"/>
    <n v="707.04"/>
    <n v="197.97120000000001"/>
    <n v="509.06879999999995"/>
    <x v="0"/>
    <x v="4"/>
    <x v="1"/>
  </r>
  <r>
    <n v="10361"/>
    <x v="360"/>
    <n v="2019"/>
    <x v="3"/>
    <n v="9"/>
    <n v="323.08"/>
    <n v="0.14000000000000001"/>
    <x v="2"/>
    <x v="1"/>
    <n v="2907.72"/>
    <n v="407.08080000000001"/>
    <n v="2500.6391999999996"/>
    <x v="0"/>
    <x v="2"/>
    <x v="2"/>
  </r>
  <r>
    <n v="10362"/>
    <x v="361"/>
    <n v="2004"/>
    <x v="1"/>
    <n v="2"/>
    <n v="380.88"/>
    <n v="0"/>
    <x v="0"/>
    <x v="1"/>
    <n v="761.76"/>
    <n v="0"/>
    <n v="761.76"/>
    <x v="0"/>
    <x v="4"/>
    <x v="0"/>
  </r>
  <r>
    <n v="10363"/>
    <x v="362"/>
    <n v="2035"/>
    <x v="2"/>
    <n v="9"/>
    <n v="252.72"/>
    <n v="0.08"/>
    <x v="1"/>
    <x v="1"/>
    <n v="2274.48"/>
    <n v="181.95840000000001"/>
    <n v="2092.5216"/>
    <x v="0"/>
    <x v="2"/>
    <x v="0"/>
  </r>
  <r>
    <n v="10364"/>
    <x v="363"/>
    <n v="2064"/>
    <x v="2"/>
    <n v="9"/>
    <n v="273.47000000000003"/>
    <n v="0.01"/>
    <x v="4"/>
    <x v="1"/>
    <n v="2461.2300000000005"/>
    <n v="24.612300000000005"/>
    <n v="2436.6177000000007"/>
    <x v="0"/>
    <x v="2"/>
    <x v="0"/>
  </r>
  <r>
    <n v="10365"/>
    <x v="364"/>
    <n v="2049"/>
    <x v="3"/>
    <n v="7"/>
    <n v="475.98"/>
    <n v="0.01"/>
    <x v="0"/>
    <x v="0"/>
    <n v="3331.86"/>
    <n v="33.318600000000004"/>
    <n v="3298.5414000000001"/>
    <x v="0"/>
    <x v="0"/>
    <x v="0"/>
  </r>
  <r>
    <n v="10366"/>
    <x v="365"/>
    <n v="2017"/>
    <x v="3"/>
    <n v="1"/>
    <n v="424.35"/>
    <n v="0.08"/>
    <x v="0"/>
    <x v="1"/>
    <n v="424.35"/>
    <n v="33.948"/>
    <n v="390.40200000000004"/>
    <x v="1"/>
    <x v="1"/>
    <x v="0"/>
  </r>
  <r>
    <n v="10367"/>
    <x v="366"/>
    <n v="2044"/>
    <x v="1"/>
    <n v="7"/>
    <n v="457.55"/>
    <n v="0.08"/>
    <x v="2"/>
    <x v="0"/>
    <n v="3202.85"/>
    <n v="256.22800000000001"/>
    <n v="2946.6219999999998"/>
    <x v="1"/>
    <x v="2"/>
    <x v="0"/>
  </r>
  <r>
    <n v="10368"/>
    <x v="367"/>
    <n v="2092"/>
    <x v="0"/>
    <n v="5"/>
    <n v="407.81"/>
    <n v="0.24"/>
    <x v="3"/>
    <x v="1"/>
    <n v="2039.05"/>
    <n v="489.37199999999996"/>
    <n v="1549.6779999999999"/>
    <x v="1"/>
    <x v="3"/>
    <x v="1"/>
  </r>
  <r>
    <n v="10369"/>
    <x v="368"/>
    <n v="2030"/>
    <x v="1"/>
    <n v="6"/>
    <n v="58.91"/>
    <n v="0.28999999999999998"/>
    <x v="3"/>
    <x v="0"/>
    <n v="353.46"/>
    <n v="102.50339999999998"/>
    <n v="250.95659999999998"/>
    <x v="1"/>
    <x v="1"/>
    <x v="1"/>
  </r>
  <r>
    <n v="10370"/>
    <x v="369"/>
    <n v="2093"/>
    <x v="3"/>
    <n v="7"/>
    <n v="78.75"/>
    <n v="0.11"/>
    <x v="2"/>
    <x v="1"/>
    <n v="551.25"/>
    <n v="60.637500000000003"/>
    <n v="490.61250000000001"/>
    <x v="1"/>
    <x v="1"/>
    <x v="2"/>
  </r>
  <r>
    <n v="10371"/>
    <x v="370"/>
    <n v="2046"/>
    <x v="3"/>
    <n v="5"/>
    <n v="265.68"/>
    <n v="0.13"/>
    <x v="2"/>
    <x v="1"/>
    <n v="1328.4"/>
    <n v="172.69200000000001"/>
    <n v="1155.7080000000001"/>
    <x v="1"/>
    <x v="3"/>
    <x v="2"/>
  </r>
  <r>
    <n v="10372"/>
    <x v="371"/>
    <n v="2006"/>
    <x v="4"/>
    <n v="7"/>
    <n v="126.8"/>
    <n v="0.25"/>
    <x v="2"/>
    <x v="0"/>
    <n v="887.6"/>
    <n v="221.9"/>
    <n v="665.7"/>
    <x v="1"/>
    <x v="4"/>
    <x v="1"/>
  </r>
  <r>
    <n v="10373"/>
    <x v="372"/>
    <n v="2099"/>
    <x v="3"/>
    <n v="9"/>
    <n v="240.96"/>
    <n v="0.08"/>
    <x v="3"/>
    <x v="1"/>
    <n v="2168.64"/>
    <n v="173.49119999999999"/>
    <n v="1995.1487999999999"/>
    <x v="1"/>
    <x v="3"/>
    <x v="0"/>
  </r>
  <r>
    <n v="10374"/>
    <x v="373"/>
    <n v="2037"/>
    <x v="4"/>
    <n v="3"/>
    <n v="200.21"/>
    <n v="0.05"/>
    <x v="2"/>
    <x v="0"/>
    <n v="600.63"/>
    <n v="30.031500000000001"/>
    <n v="570.59849999999994"/>
    <x v="1"/>
    <x v="4"/>
    <x v="0"/>
  </r>
  <r>
    <n v="10375"/>
    <x v="374"/>
    <n v="2024"/>
    <x v="0"/>
    <n v="8"/>
    <n v="276.95999999999998"/>
    <n v="0.26"/>
    <x v="1"/>
    <x v="1"/>
    <n v="2215.6799999999998"/>
    <n v="576.07679999999993"/>
    <n v="1639.6032"/>
    <x v="1"/>
    <x v="3"/>
    <x v="1"/>
  </r>
  <r>
    <n v="10376"/>
    <x v="375"/>
    <n v="2093"/>
    <x v="1"/>
    <n v="2"/>
    <n v="374.7"/>
    <n v="0.01"/>
    <x v="0"/>
    <x v="0"/>
    <n v="749.4"/>
    <n v="7.4939999999999998"/>
    <n v="741.90599999999995"/>
    <x v="1"/>
    <x v="4"/>
    <x v="0"/>
  </r>
  <r>
    <n v="10377"/>
    <x v="376"/>
    <n v="2046"/>
    <x v="1"/>
    <n v="7"/>
    <n v="359.17"/>
    <n v="0.19"/>
    <x v="0"/>
    <x v="1"/>
    <n v="2514.19"/>
    <n v="477.6961"/>
    <n v="2036.4938999999999"/>
    <x v="1"/>
    <x v="2"/>
    <x v="2"/>
  </r>
  <r>
    <n v="10378"/>
    <x v="377"/>
    <n v="2053"/>
    <x v="4"/>
    <n v="2"/>
    <n v="263.01"/>
    <n v="0.17"/>
    <x v="4"/>
    <x v="1"/>
    <n v="526.02"/>
    <n v="89.423400000000001"/>
    <n v="436.59659999999997"/>
    <x v="1"/>
    <x v="1"/>
    <x v="2"/>
  </r>
  <r>
    <n v="10379"/>
    <x v="378"/>
    <n v="2095"/>
    <x v="1"/>
    <n v="4"/>
    <n v="412.08"/>
    <n v="0.1"/>
    <x v="4"/>
    <x v="0"/>
    <n v="1648.32"/>
    <n v="164.83199999999999"/>
    <n v="1483.4879999999998"/>
    <x v="1"/>
    <x v="3"/>
    <x v="2"/>
  </r>
  <r>
    <n v="10380"/>
    <x v="379"/>
    <n v="2099"/>
    <x v="3"/>
    <n v="7"/>
    <n v="218.28"/>
    <n v="0.09"/>
    <x v="0"/>
    <x v="1"/>
    <n v="1527.96"/>
    <n v="137.5164"/>
    <n v="1390.4436000000001"/>
    <x v="1"/>
    <x v="3"/>
    <x v="2"/>
  </r>
  <r>
    <n v="10381"/>
    <x v="380"/>
    <n v="2060"/>
    <x v="2"/>
    <n v="3"/>
    <n v="448.87"/>
    <n v="0.23"/>
    <x v="1"/>
    <x v="1"/>
    <n v="1346.6100000000001"/>
    <n v="309.72030000000007"/>
    <n v="1036.8897000000002"/>
    <x v="1"/>
    <x v="3"/>
    <x v="1"/>
  </r>
  <r>
    <n v="10382"/>
    <x v="381"/>
    <n v="2097"/>
    <x v="4"/>
    <n v="2"/>
    <n v="40.28"/>
    <n v="0.03"/>
    <x v="3"/>
    <x v="1"/>
    <n v="80.56"/>
    <n v="2.4167999999999998"/>
    <n v="78.143200000000007"/>
    <x v="1"/>
    <x v="1"/>
    <x v="0"/>
  </r>
  <r>
    <n v="10383"/>
    <x v="382"/>
    <n v="2063"/>
    <x v="1"/>
    <n v="7"/>
    <n v="477.56"/>
    <n v="7.0000000000000007E-2"/>
    <x v="3"/>
    <x v="1"/>
    <n v="3342.92"/>
    <n v="234.00440000000003"/>
    <n v="3108.9156000000003"/>
    <x v="1"/>
    <x v="0"/>
    <x v="0"/>
  </r>
  <r>
    <n v="10384"/>
    <x v="383"/>
    <n v="2085"/>
    <x v="4"/>
    <n v="1"/>
    <n v="329.07"/>
    <n v="0.22"/>
    <x v="1"/>
    <x v="1"/>
    <n v="329.07"/>
    <n v="72.395399999999995"/>
    <n v="256.6746"/>
    <x v="1"/>
    <x v="1"/>
    <x v="1"/>
  </r>
  <r>
    <n v="10385"/>
    <x v="384"/>
    <n v="2032"/>
    <x v="4"/>
    <n v="8"/>
    <n v="193.14"/>
    <n v="0.16"/>
    <x v="3"/>
    <x v="1"/>
    <n v="1545.12"/>
    <n v="247.2192"/>
    <n v="1297.9007999999999"/>
    <x v="1"/>
    <x v="3"/>
    <x v="2"/>
  </r>
  <r>
    <n v="10386"/>
    <x v="385"/>
    <n v="2087"/>
    <x v="2"/>
    <n v="3"/>
    <n v="102.59"/>
    <n v="0.04"/>
    <x v="2"/>
    <x v="0"/>
    <n v="307.77"/>
    <n v="12.3108"/>
    <n v="295.45920000000001"/>
    <x v="1"/>
    <x v="1"/>
    <x v="0"/>
  </r>
  <r>
    <n v="10387"/>
    <x v="386"/>
    <n v="2033"/>
    <x v="3"/>
    <n v="2"/>
    <n v="242.2"/>
    <n v="0.26"/>
    <x v="0"/>
    <x v="0"/>
    <n v="484.4"/>
    <n v="125.944"/>
    <n v="358.45599999999996"/>
    <x v="1"/>
    <x v="1"/>
    <x v="1"/>
  </r>
  <r>
    <n v="10388"/>
    <x v="387"/>
    <n v="2067"/>
    <x v="4"/>
    <n v="3"/>
    <n v="101.31"/>
    <n v="0.12"/>
    <x v="0"/>
    <x v="0"/>
    <n v="303.93"/>
    <n v="36.471600000000002"/>
    <n v="267.45839999999998"/>
    <x v="1"/>
    <x v="1"/>
    <x v="2"/>
  </r>
  <r>
    <n v="10389"/>
    <x v="388"/>
    <n v="2018"/>
    <x v="1"/>
    <n v="5"/>
    <n v="87.33"/>
    <n v="0.25"/>
    <x v="1"/>
    <x v="1"/>
    <n v="436.65"/>
    <n v="109.16249999999999"/>
    <n v="327.48749999999995"/>
    <x v="1"/>
    <x v="1"/>
    <x v="1"/>
  </r>
  <r>
    <n v="10390"/>
    <x v="389"/>
    <n v="2025"/>
    <x v="0"/>
    <n v="8"/>
    <n v="310.58999999999997"/>
    <n v="0.24"/>
    <x v="3"/>
    <x v="0"/>
    <n v="2484.7199999999998"/>
    <n v="596.33279999999991"/>
    <n v="1888.3871999999999"/>
    <x v="1"/>
    <x v="3"/>
    <x v="1"/>
  </r>
  <r>
    <n v="10391"/>
    <x v="390"/>
    <n v="2095"/>
    <x v="4"/>
    <n v="7"/>
    <n v="263.93"/>
    <n v="0.19"/>
    <x v="4"/>
    <x v="1"/>
    <n v="1847.51"/>
    <n v="351.02690000000001"/>
    <n v="1496.4830999999999"/>
    <x v="1"/>
    <x v="3"/>
    <x v="2"/>
  </r>
  <r>
    <n v="10392"/>
    <x v="391"/>
    <n v="2054"/>
    <x v="4"/>
    <n v="7"/>
    <n v="336.7"/>
    <n v="0.15"/>
    <x v="4"/>
    <x v="1"/>
    <n v="2356.9"/>
    <n v="353.53500000000003"/>
    <n v="2003.365"/>
    <x v="1"/>
    <x v="2"/>
    <x v="2"/>
  </r>
  <r>
    <n v="10393"/>
    <x v="392"/>
    <n v="2058"/>
    <x v="2"/>
    <n v="7"/>
    <n v="465.15"/>
    <n v="0.28999999999999998"/>
    <x v="3"/>
    <x v="1"/>
    <n v="3256.0499999999997"/>
    <n v="944.25449999999989"/>
    <n v="2311.7954999999997"/>
    <x v="1"/>
    <x v="2"/>
    <x v="1"/>
  </r>
  <r>
    <n v="10394"/>
    <x v="393"/>
    <n v="2067"/>
    <x v="3"/>
    <n v="8"/>
    <n v="268.47000000000003"/>
    <n v="0.04"/>
    <x v="4"/>
    <x v="1"/>
    <n v="2147.7600000000002"/>
    <n v="85.91040000000001"/>
    <n v="2061.8496"/>
    <x v="1"/>
    <x v="2"/>
    <x v="0"/>
  </r>
  <r>
    <n v="10395"/>
    <x v="394"/>
    <n v="2046"/>
    <x v="0"/>
    <n v="1"/>
    <n v="292.56"/>
    <n v="0.22"/>
    <x v="1"/>
    <x v="0"/>
    <n v="292.56"/>
    <n v="64.363200000000006"/>
    <n v="228.1968"/>
    <x v="1"/>
    <x v="1"/>
    <x v="1"/>
  </r>
  <r>
    <n v="10396"/>
    <x v="395"/>
    <n v="2024"/>
    <x v="1"/>
    <n v="4"/>
    <n v="49.37"/>
    <n v="0.06"/>
    <x v="1"/>
    <x v="1"/>
    <n v="197.48"/>
    <n v="11.848799999999999"/>
    <n v="185.63119999999998"/>
    <x v="1"/>
    <x v="1"/>
    <x v="0"/>
  </r>
  <r>
    <n v="10397"/>
    <x v="396"/>
    <n v="2032"/>
    <x v="0"/>
    <n v="6"/>
    <n v="360.23"/>
    <n v="0.1"/>
    <x v="3"/>
    <x v="0"/>
    <n v="2161.38"/>
    <n v="216.13800000000003"/>
    <n v="1945.2420000000002"/>
    <x v="1"/>
    <x v="3"/>
    <x v="2"/>
  </r>
  <r>
    <n v="10398"/>
    <x v="397"/>
    <n v="2047"/>
    <x v="1"/>
    <n v="9"/>
    <n v="202.95"/>
    <n v="0.09"/>
    <x v="4"/>
    <x v="1"/>
    <n v="1826.55"/>
    <n v="164.3895"/>
    <n v="1662.1605"/>
    <x v="1"/>
    <x v="3"/>
    <x v="2"/>
  </r>
  <r>
    <n v="10399"/>
    <x v="398"/>
    <n v="2086"/>
    <x v="3"/>
    <n v="2"/>
    <n v="488.48"/>
    <n v="0.28000000000000003"/>
    <x v="1"/>
    <x v="0"/>
    <n v="976.96"/>
    <n v="273.54880000000003"/>
    <n v="703.41120000000001"/>
    <x v="1"/>
    <x v="4"/>
    <x v="1"/>
  </r>
  <r>
    <n v="10400"/>
    <x v="399"/>
    <n v="2023"/>
    <x v="1"/>
    <n v="1"/>
    <n v="412.47"/>
    <n v="0.28999999999999998"/>
    <x v="1"/>
    <x v="0"/>
    <n v="412.47"/>
    <n v="119.6163"/>
    <n v="292.8537"/>
    <x v="1"/>
    <x v="1"/>
    <x v="1"/>
  </r>
  <r>
    <n v="10401"/>
    <x v="400"/>
    <n v="2066"/>
    <x v="2"/>
    <n v="2"/>
    <n v="263.63"/>
    <n v="0.05"/>
    <x v="2"/>
    <x v="0"/>
    <n v="527.26"/>
    <n v="26.363"/>
    <n v="500.89699999999999"/>
    <x v="1"/>
    <x v="4"/>
    <x v="0"/>
  </r>
  <r>
    <n v="10402"/>
    <x v="401"/>
    <n v="2027"/>
    <x v="2"/>
    <n v="7"/>
    <n v="66"/>
    <n v="0.01"/>
    <x v="2"/>
    <x v="0"/>
    <n v="462"/>
    <n v="4.62"/>
    <n v="457.38"/>
    <x v="1"/>
    <x v="1"/>
    <x v="0"/>
  </r>
  <r>
    <n v="10403"/>
    <x v="402"/>
    <n v="2002"/>
    <x v="2"/>
    <n v="3"/>
    <n v="430.41"/>
    <n v="0.22"/>
    <x v="1"/>
    <x v="0"/>
    <n v="1291.23"/>
    <n v="284.07060000000001"/>
    <n v="1007.1594"/>
    <x v="1"/>
    <x v="3"/>
    <x v="1"/>
  </r>
  <r>
    <n v="10404"/>
    <x v="403"/>
    <n v="2090"/>
    <x v="2"/>
    <n v="2"/>
    <n v="400.89"/>
    <n v="0.13"/>
    <x v="3"/>
    <x v="0"/>
    <n v="801.78"/>
    <n v="104.23139999999999"/>
    <n v="697.54859999999996"/>
    <x v="1"/>
    <x v="4"/>
    <x v="2"/>
  </r>
  <r>
    <n v="10405"/>
    <x v="404"/>
    <n v="2017"/>
    <x v="0"/>
    <n v="7"/>
    <n v="96.37"/>
    <n v="0.03"/>
    <x v="0"/>
    <x v="1"/>
    <n v="674.59"/>
    <n v="20.2377"/>
    <n v="654.35230000000001"/>
    <x v="1"/>
    <x v="4"/>
    <x v="0"/>
  </r>
  <r>
    <n v="10406"/>
    <x v="405"/>
    <n v="2033"/>
    <x v="3"/>
    <n v="2"/>
    <n v="151.16"/>
    <n v="0.21"/>
    <x v="0"/>
    <x v="0"/>
    <n v="302.32"/>
    <n v="63.487199999999994"/>
    <n v="238.83279999999999"/>
    <x v="1"/>
    <x v="1"/>
    <x v="1"/>
  </r>
  <r>
    <n v="10407"/>
    <x v="406"/>
    <n v="2009"/>
    <x v="1"/>
    <n v="3"/>
    <n v="397.74"/>
    <n v="0.16"/>
    <x v="1"/>
    <x v="1"/>
    <n v="1193.22"/>
    <n v="190.9152"/>
    <n v="1002.3048"/>
    <x v="1"/>
    <x v="3"/>
    <x v="2"/>
  </r>
  <r>
    <n v="10408"/>
    <x v="407"/>
    <n v="2043"/>
    <x v="1"/>
    <n v="7"/>
    <n v="96.69"/>
    <n v="0.28999999999999998"/>
    <x v="1"/>
    <x v="0"/>
    <n v="676.82999999999993"/>
    <n v="196.28069999999997"/>
    <n v="480.54929999999996"/>
    <x v="1"/>
    <x v="1"/>
    <x v="1"/>
  </r>
  <r>
    <n v="10409"/>
    <x v="408"/>
    <n v="2048"/>
    <x v="2"/>
    <n v="4"/>
    <n v="459.29"/>
    <n v="7.0000000000000007E-2"/>
    <x v="1"/>
    <x v="1"/>
    <n v="1837.16"/>
    <n v="128.60120000000001"/>
    <n v="1708.5588"/>
    <x v="1"/>
    <x v="3"/>
    <x v="0"/>
  </r>
  <r>
    <n v="10410"/>
    <x v="409"/>
    <n v="2039"/>
    <x v="2"/>
    <n v="1"/>
    <n v="215.14"/>
    <n v="0.12"/>
    <x v="3"/>
    <x v="0"/>
    <n v="215.14"/>
    <n v="25.816799999999997"/>
    <n v="189.32319999999999"/>
    <x v="1"/>
    <x v="1"/>
    <x v="2"/>
  </r>
  <r>
    <n v="10411"/>
    <x v="410"/>
    <n v="2093"/>
    <x v="4"/>
    <n v="5"/>
    <n v="48.08"/>
    <n v="0.16"/>
    <x v="2"/>
    <x v="0"/>
    <n v="240.39999999999998"/>
    <n v="38.463999999999999"/>
    <n v="201.93599999999998"/>
    <x v="1"/>
    <x v="1"/>
    <x v="2"/>
  </r>
  <r>
    <n v="10412"/>
    <x v="411"/>
    <n v="2042"/>
    <x v="3"/>
    <n v="9"/>
    <n v="408.8"/>
    <n v="0.24"/>
    <x v="1"/>
    <x v="1"/>
    <n v="3679.2000000000003"/>
    <n v="883.00800000000004"/>
    <n v="2796.192"/>
    <x v="1"/>
    <x v="2"/>
    <x v="1"/>
  </r>
  <r>
    <n v="10413"/>
    <x v="412"/>
    <n v="2026"/>
    <x v="0"/>
    <n v="8"/>
    <n v="189.89"/>
    <n v="0.16"/>
    <x v="1"/>
    <x v="0"/>
    <n v="1519.12"/>
    <n v="243.05919999999998"/>
    <n v="1276.0608"/>
    <x v="1"/>
    <x v="3"/>
    <x v="2"/>
  </r>
  <r>
    <n v="10414"/>
    <x v="413"/>
    <n v="2099"/>
    <x v="1"/>
    <n v="9"/>
    <n v="265.62"/>
    <n v="0.18"/>
    <x v="4"/>
    <x v="0"/>
    <n v="2390.58"/>
    <n v="430.30439999999999"/>
    <n v="1960.2755999999999"/>
    <x v="1"/>
    <x v="3"/>
    <x v="2"/>
  </r>
  <r>
    <n v="10415"/>
    <x v="414"/>
    <n v="2050"/>
    <x v="4"/>
    <n v="9"/>
    <n v="60.59"/>
    <n v="7.0000000000000007E-2"/>
    <x v="3"/>
    <x v="0"/>
    <n v="545.31000000000006"/>
    <n v="38.171700000000008"/>
    <n v="507.13830000000007"/>
    <x v="1"/>
    <x v="4"/>
    <x v="0"/>
  </r>
  <r>
    <n v="10416"/>
    <x v="415"/>
    <n v="2025"/>
    <x v="4"/>
    <n v="7"/>
    <n v="6.28"/>
    <n v="0.25"/>
    <x v="1"/>
    <x v="1"/>
    <n v="43.96"/>
    <n v="10.99"/>
    <n v="32.97"/>
    <x v="1"/>
    <x v="1"/>
    <x v="1"/>
  </r>
  <r>
    <n v="10417"/>
    <x v="416"/>
    <n v="2024"/>
    <x v="1"/>
    <n v="4"/>
    <n v="320.8"/>
    <n v="0.13"/>
    <x v="4"/>
    <x v="0"/>
    <n v="1283.2"/>
    <n v="166.816"/>
    <n v="1116.384"/>
    <x v="1"/>
    <x v="3"/>
    <x v="2"/>
  </r>
  <r>
    <n v="10418"/>
    <x v="417"/>
    <n v="2013"/>
    <x v="0"/>
    <n v="5"/>
    <n v="260.01"/>
    <n v="0.04"/>
    <x v="0"/>
    <x v="1"/>
    <n v="1300.05"/>
    <n v="52.002000000000002"/>
    <n v="1248.048"/>
    <x v="1"/>
    <x v="3"/>
    <x v="0"/>
  </r>
  <r>
    <n v="10419"/>
    <x v="418"/>
    <n v="2060"/>
    <x v="4"/>
    <n v="1"/>
    <n v="298.8"/>
    <n v="0.2"/>
    <x v="1"/>
    <x v="0"/>
    <n v="298.8"/>
    <n v="59.760000000000005"/>
    <n v="239.04000000000002"/>
    <x v="1"/>
    <x v="1"/>
    <x v="1"/>
  </r>
  <r>
    <n v="10420"/>
    <x v="419"/>
    <n v="2007"/>
    <x v="4"/>
    <n v="1"/>
    <n v="397.9"/>
    <n v="0.06"/>
    <x v="1"/>
    <x v="0"/>
    <n v="397.9"/>
    <n v="23.873999999999999"/>
    <n v="374.02599999999995"/>
    <x v="1"/>
    <x v="1"/>
    <x v="0"/>
  </r>
  <r>
    <n v="10421"/>
    <x v="420"/>
    <n v="2057"/>
    <x v="3"/>
    <n v="3"/>
    <n v="325.07"/>
    <n v="0.03"/>
    <x v="4"/>
    <x v="1"/>
    <n v="975.21"/>
    <n v="29.2563"/>
    <n v="945.95370000000003"/>
    <x v="1"/>
    <x v="4"/>
    <x v="0"/>
  </r>
  <r>
    <n v="10422"/>
    <x v="421"/>
    <n v="2036"/>
    <x v="0"/>
    <n v="8"/>
    <n v="91.51"/>
    <n v="0.26"/>
    <x v="3"/>
    <x v="0"/>
    <n v="732.08"/>
    <n v="190.34080000000003"/>
    <n v="541.73919999999998"/>
    <x v="1"/>
    <x v="4"/>
    <x v="1"/>
  </r>
  <r>
    <n v="10423"/>
    <x v="422"/>
    <n v="2045"/>
    <x v="4"/>
    <n v="2"/>
    <n v="183.58"/>
    <n v="0.14000000000000001"/>
    <x v="1"/>
    <x v="0"/>
    <n v="367.16"/>
    <n v="51.402400000000007"/>
    <n v="315.75760000000002"/>
    <x v="1"/>
    <x v="1"/>
    <x v="2"/>
  </r>
  <r>
    <n v="10424"/>
    <x v="423"/>
    <n v="2020"/>
    <x v="0"/>
    <n v="4"/>
    <n v="453.42"/>
    <n v="0.22"/>
    <x v="0"/>
    <x v="1"/>
    <n v="1813.68"/>
    <n v="399.00960000000003"/>
    <n v="1414.6704"/>
    <x v="1"/>
    <x v="3"/>
    <x v="1"/>
  </r>
  <r>
    <n v="10425"/>
    <x v="424"/>
    <n v="2065"/>
    <x v="1"/>
    <n v="2"/>
    <n v="386.12"/>
    <n v="0.09"/>
    <x v="1"/>
    <x v="0"/>
    <n v="772.24"/>
    <n v="69.501599999999996"/>
    <n v="702.73839999999996"/>
    <x v="1"/>
    <x v="4"/>
    <x v="2"/>
  </r>
  <r>
    <n v="10426"/>
    <x v="425"/>
    <n v="2008"/>
    <x v="2"/>
    <n v="5"/>
    <n v="280.54000000000002"/>
    <n v="0.24"/>
    <x v="0"/>
    <x v="1"/>
    <n v="1402.7"/>
    <n v="336.64800000000002"/>
    <n v="1066.0520000000001"/>
    <x v="1"/>
    <x v="3"/>
    <x v="1"/>
  </r>
  <r>
    <n v="10427"/>
    <x v="426"/>
    <n v="2016"/>
    <x v="4"/>
    <n v="9"/>
    <n v="131.54"/>
    <n v="0.03"/>
    <x v="2"/>
    <x v="1"/>
    <n v="1183.8599999999999"/>
    <n v="35.515799999999999"/>
    <n v="1148.3442"/>
    <x v="1"/>
    <x v="3"/>
    <x v="0"/>
  </r>
  <r>
    <n v="10428"/>
    <x v="427"/>
    <n v="2014"/>
    <x v="3"/>
    <n v="1"/>
    <n v="154.52000000000001"/>
    <n v="0.11"/>
    <x v="2"/>
    <x v="1"/>
    <n v="154.52000000000001"/>
    <n v="16.997200000000003"/>
    <n v="137.52280000000002"/>
    <x v="1"/>
    <x v="1"/>
    <x v="2"/>
  </r>
  <r>
    <n v="10429"/>
    <x v="428"/>
    <n v="2076"/>
    <x v="1"/>
    <n v="5"/>
    <n v="367.32"/>
    <n v="0.28999999999999998"/>
    <x v="0"/>
    <x v="0"/>
    <n v="1836.6"/>
    <n v="532.61399999999992"/>
    <n v="1303.9859999999999"/>
    <x v="1"/>
    <x v="3"/>
    <x v="1"/>
  </r>
  <r>
    <n v="10430"/>
    <x v="429"/>
    <n v="2087"/>
    <x v="0"/>
    <n v="9"/>
    <n v="426.33"/>
    <n v="0.24"/>
    <x v="3"/>
    <x v="1"/>
    <n v="3836.97"/>
    <n v="920.87279999999987"/>
    <n v="2916.0972000000002"/>
    <x v="1"/>
    <x v="2"/>
    <x v="1"/>
  </r>
  <r>
    <n v="10431"/>
    <x v="430"/>
    <n v="2015"/>
    <x v="1"/>
    <n v="1"/>
    <n v="337.36"/>
    <n v="0.15"/>
    <x v="1"/>
    <x v="1"/>
    <n v="337.36"/>
    <n v="50.603999999999999"/>
    <n v="286.75600000000003"/>
    <x v="1"/>
    <x v="1"/>
    <x v="2"/>
  </r>
  <r>
    <n v="10432"/>
    <x v="431"/>
    <n v="2092"/>
    <x v="4"/>
    <n v="9"/>
    <n v="405.72"/>
    <n v="0.1"/>
    <x v="1"/>
    <x v="0"/>
    <n v="3651.4800000000005"/>
    <n v="365.14800000000008"/>
    <n v="3286.3320000000003"/>
    <x v="1"/>
    <x v="0"/>
    <x v="2"/>
  </r>
  <r>
    <n v="10433"/>
    <x v="432"/>
    <n v="2098"/>
    <x v="0"/>
    <n v="8"/>
    <n v="384.49"/>
    <n v="0.26"/>
    <x v="2"/>
    <x v="1"/>
    <n v="3075.92"/>
    <n v="799.7392000000001"/>
    <n v="2276.1808000000001"/>
    <x v="1"/>
    <x v="2"/>
    <x v="1"/>
  </r>
  <r>
    <n v="10434"/>
    <x v="433"/>
    <n v="2066"/>
    <x v="2"/>
    <n v="4"/>
    <n v="79.099999999999994"/>
    <n v="0.16"/>
    <x v="0"/>
    <x v="0"/>
    <n v="316.39999999999998"/>
    <n v="50.623999999999995"/>
    <n v="265.77599999999995"/>
    <x v="1"/>
    <x v="1"/>
    <x v="2"/>
  </r>
  <r>
    <n v="10435"/>
    <x v="434"/>
    <n v="2032"/>
    <x v="1"/>
    <n v="5"/>
    <n v="214.85"/>
    <n v="0.23"/>
    <x v="1"/>
    <x v="0"/>
    <n v="1074.25"/>
    <n v="247.07750000000001"/>
    <n v="827.17250000000001"/>
    <x v="1"/>
    <x v="4"/>
    <x v="1"/>
  </r>
  <r>
    <n v="10436"/>
    <x v="435"/>
    <n v="2087"/>
    <x v="4"/>
    <n v="5"/>
    <n v="80.73"/>
    <n v="0.23"/>
    <x v="1"/>
    <x v="0"/>
    <n v="403.65000000000003"/>
    <n v="92.839500000000015"/>
    <n v="310.81050000000005"/>
    <x v="1"/>
    <x v="1"/>
    <x v="1"/>
  </r>
  <r>
    <n v="10437"/>
    <x v="436"/>
    <n v="2063"/>
    <x v="3"/>
    <n v="6"/>
    <n v="121.44"/>
    <n v="0.01"/>
    <x v="3"/>
    <x v="0"/>
    <n v="728.64"/>
    <n v="7.2864000000000004"/>
    <n v="721.35360000000003"/>
    <x v="1"/>
    <x v="4"/>
    <x v="0"/>
  </r>
  <r>
    <n v="10438"/>
    <x v="437"/>
    <n v="2086"/>
    <x v="0"/>
    <n v="7"/>
    <n v="435.28"/>
    <n v="0.04"/>
    <x v="4"/>
    <x v="1"/>
    <n v="3046.96"/>
    <n v="121.8784"/>
    <n v="2925.0816"/>
    <x v="1"/>
    <x v="2"/>
    <x v="0"/>
  </r>
  <r>
    <n v="10439"/>
    <x v="438"/>
    <n v="2051"/>
    <x v="1"/>
    <n v="8"/>
    <n v="239.08"/>
    <n v="0.2"/>
    <x v="2"/>
    <x v="1"/>
    <n v="1912.64"/>
    <n v="382.52800000000002"/>
    <n v="1530.1120000000001"/>
    <x v="1"/>
    <x v="3"/>
    <x v="1"/>
  </r>
  <r>
    <n v="10440"/>
    <x v="439"/>
    <n v="2025"/>
    <x v="1"/>
    <n v="8"/>
    <n v="270"/>
    <n v="0.05"/>
    <x v="2"/>
    <x v="1"/>
    <n v="2160"/>
    <n v="108"/>
    <n v="2052"/>
    <x v="1"/>
    <x v="2"/>
    <x v="0"/>
  </r>
  <r>
    <n v="10441"/>
    <x v="440"/>
    <n v="2058"/>
    <x v="2"/>
    <n v="2"/>
    <n v="93.33"/>
    <n v="0.08"/>
    <x v="4"/>
    <x v="1"/>
    <n v="186.66"/>
    <n v="14.9328"/>
    <n v="171.72719999999998"/>
    <x v="1"/>
    <x v="1"/>
    <x v="0"/>
  </r>
  <r>
    <n v="10442"/>
    <x v="441"/>
    <n v="2063"/>
    <x v="2"/>
    <n v="9"/>
    <n v="159.57"/>
    <n v="0.28000000000000003"/>
    <x v="1"/>
    <x v="1"/>
    <n v="1436.1299999999999"/>
    <n v="402.1164"/>
    <n v="1034.0135999999998"/>
    <x v="1"/>
    <x v="3"/>
    <x v="1"/>
  </r>
  <r>
    <n v="10443"/>
    <x v="442"/>
    <n v="2062"/>
    <x v="3"/>
    <n v="7"/>
    <n v="118.97"/>
    <n v="0.17"/>
    <x v="3"/>
    <x v="0"/>
    <n v="832.79"/>
    <n v="141.57429999999999"/>
    <n v="691.21569999999997"/>
    <x v="1"/>
    <x v="4"/>
    <x v="2"/>
  </r>
  <r>
    <n v="10444"/>
    <x v="443"/>
    <n v="2022"/>
    <x v="3"/>
    <n v="4"/>
    <n v="107.06"/>
    <n v="0.23"/>
    <x v="3"/>
    <x v="1"/>
    <n v="428.24"/>
    <n v="98.495200000000011"/>
    <n v="329.7448"/>
    <x v="1"/>
    <x v="1"/>
    <x v="1"/>
  </r>
  <r>
    <n v="10445"/>
    <x v="444"/>
    <n v="2058"/>
    <x v="4"/>
    <n v="4"/>
    <n v="320.79000000000002"/>
    <n v="0.17"/>
    <x v="2"/>
    <x v="1"/>
    <n v="1283.1600000000001"/>
    <n v="218.13720000000004"/>
    <n v="1065.0228"/>
    <x v="1"/>
    <x v="3"/>
    <x v="2"/>
  </r>
  <r>
    <n v="10446"/>
    <x v="445"/>
    <n v="2058"/>
    <x v="4"/>
    <n v="8"/>
    <n v="132.16"/>
    <n v="0.17"/>
    <x v="3"/>
    <x v="1"/>
    <n v="1057.28"/>
    <n v="179.73760000000001"/>
    <n v="877.54239999999993"/>
    <x v="1"/>
    <x v="4"/>
    <x v="2"/>
  </r>
  <r>
    <n v="10447"/>
    <x v="446"/>
    <n v="2086"/>
    <x v="3"/>
    <n v="4"/>
    <n v="317.85000000000002"/>
    <n v="0.03"/>
    <x v="4"/>
    <x v="0"/>
    <n v="1271.4000000000001"/>
    <n v="38.142000000000003"/>
    <n v="1233.258"/>
    <x v="1"/>
    <x v="3"/>
    <x v="0"/>
  </r>
  <r>
    <n v="10448"/>
    <x v="447"/>
    <n v="2049"/>
    <x v="3"/>
    <n v="6"/>
    <n v="33.94"/>
    <n v="0.1"/>
    <x v="1"/>
    <x v="0"/>
    <n v="203.64"/>
    <n v="20.364000000000001"/>
    <n v="183.27599999999998"/>
    <x v="1"/>
    <x v="1"/>
    <x v="2"/>
  </r>
  <r>
    <n v="10449"/>
    <x v="448"/>
    <n v="2052"/>
    <x v="0"/>
    <n v="5"/>
    <n v="75.180000000000007"/>
    <n v="0.08"/>
    <x v="4"/>
    <x v="1"/>
    <n v="375.90000000000003"/>
    <n v="30.072000000000003"/>
    <n v="345.82800000000003"/>
    <x v="1"/>
    <x v="1"/>
    <x v="0"/>
  </r>
  <r>
    <n v="10450"/>
    <x v="449"/>
    <n v="2042"/>
    <x v="2"/>
    <n v="3"/>
    <n v="140.9"/>
    <n v="0.12"/>
    <x v="0"/>
    <x v="0"/>
    <n v="422.70000000000005"/>
    <n v="50.724000000000004"/>
    <n v="371.97600000000006"/>
    <x v="1"/>
    <x v="1"/>
    <x v="2"/>
  </r>
  <r>
    <n v="10451"/>
    <x v="450"/>
    <n v="2070"/>
    <x v="4"/>
    <n v="2"/>
    <n v="300.54000000000002"/>
    <n v="0.24"/>
    <x v="2"/>
    <x v="1"/>
    <n v="601.08000000000004"/>
    <n v="144.25919999999999"/>
    <n v="456.82080000000008"/>
    <x v="1"/>
    <x v="1"/>
    <x v="1"/>
  </r>
  <r>
    <n v="10452"/>
    <x v="451"/>
    <n v="2015"/>
    <x v="2"/>
    <n v="9"/>
    <n v="339.54"/>
    <n v="0.11"/>
    <x v="3"/>
    <x v="1"/>
    <n v="3055.86"/>
    <n v="336.14460000000003"/>
    <n v="2719.7154"/>
    <x v="1"/>
    <x v="2"/>
    <x v="2"/>
  </r>
  <r>
    <n v="10453"/>
    <x v="452"/>
    <n v="2054"/>
    <x v="2"/>
    <n v="9"/>
    <n v="224.14"/>
    <n v="0.14000000000000001"/>
    <x v="0"/>
    <x v="0"/>
    <n v="2017.2599999999998"/>
    <n v="282.41640000000001"/>
    <n v="1734.8435999999997"/>
    <x v="1"/>
    <x v="3"/>
    <x v="2"/>
  </r>
  <r>
    <n v="10454"/>
    <x v="453"/>
    <n v="2060"/>
    <x v="3"/>
    <n v="1"/>
    <n v="225.67"/>
    <n v="0.12"/>
    <x v="3"/>
    <x v="0"/>
    <n v="225.67"/>
    <n v="27.080399999999997"/>
    <n v="198.58959999999999"/>
    <x v="1"/>
    <x v="1"/>
    <x v="2"/>
  </r>
  <r>
    <n v="10455"/>
    <x v="454"/>
    <n v="2097"/>
    <x v="0"/>
    <n v="3"/>
    <n v="363.64"/>
    <n v="0.03"/>
    <x v="1"/>
    <x v="1"/>
    <n v="1090.92"/>
    <n v="32.727600000000002"/>
    <n v="1058.1924000000001"/>
    <x v="1"/>
    <x v="3"/>
    <x v="0"/>
  </r>
  <r>
    <n v="10456"/>
    <x v="455"/>
    <n v="2008"/>
    <x v="1"/>
    <n v="8"/>
    <n v="12.83"/>
    <n v="0.13"/>
    <x v="1"/>
    <x v="1"/>
    <n v="102.64"/>
    <n v="13.343200000000001"/>
    <n v="89.296800000000005"/>
    <x v="1"/>
    <x v="1"/>
    <x v="2"/>
  </r>
  <r>
    <n v="10457"/>
    <x v="456"/>
    <n v="2053"/>
    <x v="0"/>
    <n v="6"/>
    <n v="173.84"/>
    <n v="0.06"/>
    <x v="1"/>
    <x v="0"/>
    <n v="1043.04"/>
    <n v="62.582399999999993"/>
    <n v="980.45759999999996"/>
    <x v="1"/>
    <x v="4"/>
    <x v="0"/>
  </r>
  <r>
    <n v="10458"/>
    <x v="457"/>
    <n v="2060"/>
    <x v="0"/>
    <n v="5"/>
    <n v="410.26"/>
    <n v="0.06"/>
    <x v="3"/>
    <x v="1"/>
    <n v="2051.3000000000002"/>
    <n v="123.078"/>
    <n v="1928.2220000000002"/>
    <x v="1"/>
    <x v="3"/>
    <x v="0"/>
  </r>
  <r>
    <n v="10459"/>
    <x v="458"/>
    <n v="2005"/>
    <x v="2"/>
    <n v="5"/>
    <n v="303.58999999999997"/>
    <n v="0.03"/>
    <x v="0"/>
    <x v="0"/>
    <n v="1517.9499999999998"/>
    <n v="45.538499999999992"/>
    <n v="1472.4114999999999"/>
    <x v="1"/>
    <x v="3"/>
    <x v="0"/>
  </r>
  <r>
    <n v="10460"/>
    <x v="459"/>
    <n v="2068"/>
    <x v="0"/>
    <n v="6"/>
    <n v="171.93"/>
    <n v="0.11"/>
    <x v="1"/>
    <x v="1"/>
    <n v="1031.58"/>
    <n v="113.4738"/>
    <n v="918.10619999999994"/>
    <x v="1"/>
    <x v="4"/>
    <x v="2"/>
  </r>
  <r>
    <n v="10461"/>
    <x v="460"/>
    <n v="2006"/>
    <x v="4"/>
    <n v="7"/>
    <n v="453.23"/>
    <n v="0.23"/>
    <x v="0"/>
    <x v="0"/>
    <n v="3172.61"/>
    <n v="729.70030000000008"/>
    <n v="2442.9097000000002"/>
    <x v="1"/>
    <x v="2"/>
    <x v="1"/>
  </r>
  <r>
    <n v="10462"/>
    <x v="461"/>
    <n v="2096"/>
    <x v="2"/>
    <n v="1"/>
    <n v="387.45"/>
    <n v="0.08"/>
    <x v="3"/>
    <x v="1"/>
    <n v="387.45"/>
    <n v="30.995999999999999"/>
    <n v="356.45400000000001"/>
    <x v="1"/>
    <x v="1"/>
    <x v="0"/>
  </r>
  <r>
    <n v="10463"/>
    <x v="462"/>
    <n v="2094"/>
    <x v="4"/>
    <n v="9"/>
    <n v="136.12"/>
    <n v="0.09"/>
    <x v="0"/>
    <x v="1"/>
    <n v="1225.08"/>
    <n v="110.25719999999998"/>
    <n v="1114.8227999999999"/>
    <x v="1"/>
    <x v="3"/>
    <x v="2"/>
  </r>
  <r>
    <n v="10464"/>
    <x v="463"/>
    <n v="2047"/>
    <x v="1"/>
    <n v="3"/>
    <n v="324.42"/>
    <n v="0.19"/>
    <x v="3"/>
    <x v="0"/>
    <n v="973.26"/>
    <n v="184.9194"/>
    <n v="788.34059999999999"/>
    <x v="1"/>
    <x v="4"/>
    <x v="2"/>
  </r>
  <r>
    <n v="10465"/>
    <x v="464"/>
    <n v="2099"/>
    <x v="2"/>
    <n v="4"/>
    <n v="299.89999999999998"/>
    <n v="0.06"/>
    <x v="3"/>
    <x v="1"/>
    <n v="1199.5999999999999"/>
    <n v="71.975999999999985"/>
    <n v="1127.624"/>
    <x v="1"/>
    <x v="3"/>
    <x v="0"/>
  </r>
  <r>
    <n v="10466"/>
    <x v="465"/>
    <n v="2055"/>
    <x v="1"/>
    <n v="1"/>
    <n v="203.59"/>
    <n v="0.27"/>
    <x v="2"/>
    <x v="1"/>
    <n v="203.59"/>
    <n v="54.969300000000004"/>
    <n v="148.6207"/>
    <x v="1"/>
    <x v="1"/>
    <x v="1"/>
  </r>
  <r>
    <n v="10467"/>
    <x v="466"/>
    <n v="2040"/>
    <x v="2"/>
    <n v="3"/>
    <n v="186.64"/>
    <n v="0.16"/>
    <x v="3"/>
    <x v="0"/>
    <n v="559.91999999999996"/>
    <n v="89.587199999999996"/>
    <n v="470.33279999999996"/>
    <x v="1"/>
    <x v="1"/>
    <x v="2"/>
  </r>
  <r>
    <n v="10468"/>
    <x v="467"/>
    <n v="2052"/>
    <x v="3"/>
    <n v="2"/>
    <n v="175.06"/>
    <n v="0.13"/>
    <x v="3"/>
    <x v="1"/>
    <n v="350.12"/>
    <n v="45.515599999999999"/>
    <n v="304.6044"/>
    <x v="1"/>
    <x v="1"/>
    <x v="2"/>
  </r>
  <r>
    <n v="10469"/>
    <x v="468"/>
    <n v="2016"/>
    <x v="0"/>
    <n v="2"/>
    <n v="310.49"/>
    <n v="0.17"/>
    <x v="4"/>
    <x v="1"/>
    <n v="620.98"/>
    <n v="105.56660000000001"/>
    <n v="515.41340000000002"/>
    <x v="1"/>
    <x v="4"/>
    <x v="2"/>
  </r>
  <r>
    <n v="10470"/>
    <x v="469"/>
    <n v="2013"/>
    <x v="3"/>
    <n v="1"/>
    <n v="223.99"/>
    <n v="0.05"/>
    <x v="1"/>
    <x v="1"/>
    <n v="223.99"/>
    <n v="11.1995"/>
    <n v="212.79050000000001"/>
    <x v="1"/>
    <x v="1"/>
    <x v="0"/>
  </r>
  <r>
    <n v="10471"/>
    <x v="470"/>
    <n v="2030"/>
    <x v="1"/>
    <n v="8"/>
    <n v="416.77"/>
    <n v="0.18"/>
    <x v="2"/>
    <x v="0"/>
    <n v="3334.16"/>
    <n v="600.14879999999994"/>
    <n v="2734.0111999999999"/>
    <x v="1"/>
    <x v="2"/>
    <x v="2"/>
  </r>
  <r>
    <n v="10472"/>
    <x v="471"/>
    <n v="2019"/>
    <x v="0"/>
    <n v="3"/>
    <n v="336.45"/>
    <n v="0.11"/>
    <x v="2"/>
    <x v="0"/>
    <n v="1009.3499999999999"/>
    <n v="111.02849999999999"/>
    <n v="898.3214999999999"/>
    <x v="1"/>
    <x v="4"/>
    <x v="2"/>
  </r>
  <r>
    <n v="10473"/>
    <x v="472"/>
    <n v="2017"/>
    <x v="2"/>
    <n v="3"/>
    <n v="39.619999999999997"/>
    <n v="0.27"/>
    <x v="2"/>
    <x v="0"/>
    <n v="118.85999999999999"/>
    <n v="32.092199999999998"/>
    <n v="86.767799999999994"/>
    <x v="1"/>
    <x v="1"/>
    <x v="1"/>
  </r>
  <r>
    <n v="10474"/>
    <x v="473"/>
    <n v="2063"/>
    <x v="0"/>
    <n v="6"/>
    <n v="321.88"/>
    <n v="0.05"/>
    <x v="4"/>
    <x v="1"/>
    <n v="1931.28"/>
    <n v="96.564000000000007"/>
    <n v="1834.7159999999999"/>
    <x v="1"/>
    <x v="3"/>
    <x v="0"/>
  </r>
  <r>
    <n v="10475"/>
    <x v="474"/>
    <n v="2019"/>
    <x v="4"/>
    <n v="8"/>
    <n v="139.22"/>
    <n v="0.15"/>
    <x v="3"/>
    <x v="1"/>
    <n v="1113.76"/>
    <n v="167.06399999999999"/>
    <n v="946.69600000000003"/>
    <x v="1"/>
    <x v="4"/>
    <x v="2"/>
  </r>
  <r>
    <n v="10476"/>
    <x v="475"/>
    <n v="2092"/>
    <x v="0"/>
    <n v="9"/>
    <n v="298.44"/>
    <n v="0.18"/>
    <x v="1"/>
    <x v="1"/>
    <n v="2685.96"/>
    <n v="483.47280000000001"/>
    <n v="2202.4872"/>
    <x v="1"/>
    <x v="2"/>
    <x v="2"/>
  </r>
  <r>
    <n v="10477"/>
    <x v="476"/>
    <n v="2058"/>
    <x v="4"/>
    <n v="9"/>
    <n v="341.67"/>
    <n v="0.01"/>
    <x v="0"/>
    <x v="1"/>
    <n v="3075.03"/>
    <n v="30.750300000000003"/>
    <n v="3044.2797"/>
    <x v="1"/>
    <x v="0"/>
    <x v="0"/>
  </r>
  <r>
    <n v="10478"/>
    <x v="477"/>
    <n v="2055"/>
    <x v="0"/>
    <n v="4"/>
    <n v="119.26"/>
    <n v="0.11"/>
    <x v="3"/>
    <x v="0"/>
    <n v="477.04"/>
    <n v="52.474400000000003"/>
    <n v="424.56560000000002"/>
    <x v="1"/>
    <x v="1"/>
    <x v="2"/>
  </r>
  <r>
    <n v="10479"/>
    <x v="478"/>
    <n v="2090"/>
    <x v="4"/>
    <n v="5"/>
    <n v="231.15"/>
    <n v="0.22"/>
    <x v="4"/>
    <x v="1"/>
    <n v="1155.75"/>
    <n v="254.26500000000001"/>
    <n v="901.48500000000001"/>
    <x v="1"/>
    <x v="4"/>
    <x v="1"/>
  </r>
  <r>
    <n v="10480"/>
    <x v="479"/>
    <n v="2090"/>
    <x v="1"/>
    <n v="2"/>
    <n v="99.21"/>
    <n v="0.25"/>
    <x v="3"/>
    <x v="1"/>
    <n v="198.42"/>
    <n v="49.604999999999997"/>
    <n v="148.815"/>
    <x v="1"/>
    <x v="1"/>
    <x v="1"/>
  </r>
  <r>
    <n v="10481"/>
    <x v="480"/>
    <n v="2062"/>
    <x v="3"/>
    <n v="9"/>
    <n v="30.91"/>
    <n v="0.09"/>
    <x v="3"/>
    <x v="1"/>
    <n v="278.19"/>
    <n v="25.037099999999999"/>
    <n v="253.15289999999999"/>
    <x v="1"/>
    <x v="1"/>
    <x v="2"/>
  </r>
  <r>
    <n v="10482"/>
    <x v="481"/>
    <n v="2023"/>
    <x v="2"/>
    <n v="8"/>
    <n v="192.35"/>
    <n v="0.24"/>
    <x v="4"/>
    <x v="0"/>
    <n v="1538.8"/>
    <n v="369.31199999999995"/>
    <n v="1169.4880000000001"/>
    <x v="1"/>
    <x v="3"/>
    <x v="1"/>
  </r>
  <r>
    <n v="10483"/>
    <x v="482"/>
    <n v="2009"/>
    <x v="0"/>
    <n v="3"/>
    <n v="184.66"/>
    <n v="0.28999999999999998"/>
    <x v="2"/>
    <x v="1"/>
    <n v="553.98"/>
    <n v="160.6542"/>
    <n v="393.32580000000002"/>
    <x v="1"/>
    <x v="1"/>
    <x v="1"/>
  </r>
  <r>
    <n v="10484"/>
    <x v="483"/>
    <n v="2012"/>
    <x v="3"/>
    <n v="9"/>
    <n v="497.76"/>
    <n v="0.26"/>
    <x v="2"/>
    <x v="1"/>
    <n v="4479.84"/>
    <n v="1164.7584000000002"/>
    <n v="3315.0816"/>
    <x v="1"/>
    <x v="0"/>
    <x v="1"/>
  </r>
  <r>
    <n v="10485"/>
    <x v="484"/>
    <n v="2001"/>
    <x v="2"/>
    <n v="3"/>
    <n v="225.94"/>
    <n v="0.04"/>
    <x v="1"/>
    <x v="1"/>
    <n v="677.81999999999994"/>
    <n v="27.112799999999996"/>
    <n v="650.70719999999994"/>
    <x v="1"/>
    <x v="4"/>
    <x v="0"/>
  </r>
  <r>
    <n v="10486"/>
    <x v="485"/>
    <n v="2058"/>
    <x v="2"/>
    <n v="9"/>
    <n v="170.12"/>
    <n v="0.22"/>
    <x v="1"/>
    <x v="1"/>
    <n v="1531.08"/>
    <n v="336.83760000000001"/>
    <n v="1194.2423999999999"/>
    <x v="1"/>
    <x v="3"/>
    <x v="1"/>
  </r>
  <r>
    <n v="10487"/>
    <x v="486"/>
    <n v="2001"/>
    <x v="4"/>
    <n v="2"/>
    <n v="292.33999999999997"/>
    <n v="0.1"/>
    <x v="2"/>
    <x v="1"/>
    <n v="584.67999999999995"/>
    <n v="58.467999999999996"/>
    <n v="526.21199999999999"/>
    <x v="1"/>
    <x v="4"/>
    <x v="2"/>
  </r>
  <r>
    <n v="10488"/>
    <x v="487"/>
    <n v="2034"/>
    <x v="1"/>
    <n v="9"/>
    <n v="48.94"/>
    <n v="0.3"/>
    <x v="0"/>
    <x v="0"/>
    <n v="440.46"/>
    <n v="132.13799999999998"/>
    <n v="308.322"/>
    <x v="1"/>
    <x v="1"/>
    <x v="1"/>
  </r>
  <r>
    <n v="10489"/>
    <x v="488"/>
    <n v="2096"/>
    <x v="1"/>
    <n v="8"/>
    <n v="481.02"/>
    <n v="0.15"/>
    <x v="3"/>
    <x v="1"/>
    <n v="3848.16"/>
    <n v="577.22399999999993"/>
    <n v="3270.9359999999997"/>
    <x v="1"/>
    <x v="0"/>
    <x v="2"/>
  </r>
  <r>
    <n v="10490"/>
    <x v="489"/>
    <n v="2048"/>
    <x v="3"/>
    <n v="9"/>
    <n v="319.31"/>
    <n v="0.04"/>
    <x v="0"/>
    <x v="1"/>
    <n v="2873.79"/>
    <n v="114.9516"/>
    <n v="2758.8384000000001"/>
    <x v="1"/>
    <x v="2"/>
    <x v="0"/>
  </r>
  <r>
    <n v="10491"/>
    <x v="490"/>
    <n v="2089"/>
    <x v="1"/>
    <n v="5"/>
    <n v="378.64"/>
    <n v="0.22"/>
    <x v="3"/>
    <x v="1"/>
    <n v="1893.1999999999998"/>
    <n v="416.50399999999996"/>
    <n v="1476.6959999999999"/>
    <x v="1"/>
    <x v="3"/>
    <x v="1"/>
  </r>
  <r>
    <n v="10492"/>
    <x v="491"/>
    <n v="2001"/>
    <x v="0"/>
    <n v="2"/>
    <n v="89.39"/>
    <n v="0.1"/>
    <x v="2"/>
    <x v="1"/>
    <n v="178.78"/>
    <n v="17.878"/>
    <n v="160.90199999999999"/>
    <x v="1"/>
    <x v="1"/>
    <x v="2"/>
  </r>
  <r>
    <n v="10493"/>
    <x v="492"/>
    <n v="2016"/>
    <x v="1"/>
    <n v="8"/>
    <n v="207.69"/>
    <n v="0.3"/>
    <x v="1"/>
    <x v="1"/>
    <n v="1661.52"/>
    <n v="498.45599999999996"/>
    <n v="1163.0640000000001"/>
    <x v="1"/>
    <x v="3"/>
    <x v="1"/>
  </r>
  <r>
    <n v="10494"/>
    <x v="493"/>
    <n v="2061"/>
    <x v="3"/>
    <n v="6"/>
    <n v="214.23"/>
    <n v="0.28999999999999998"/>
    <x v="1"/>
    <x v="1"/>
    <n v="1285.3799999999999"/>
    <n v="372.76019999999994"/>
    <n v="912.61979999999994"/>
    <x v="1"/>
    <x v="4"/>
    <x v="1"/>
  </r>
  <r>
    <n v="10495"/>
    <x v="494"/>
    <n v="2064"/>
    <x v="1"/>
    <n v="8"/>
    <n v="411.79"/>
    <n v="0.2"/>
    <x v="0"/>
    <x v="1"/>
    <n v="3294.32"/>
    <n v="658.86400000000003"/>
    <n v="2635.4560000000001"/>
    <x v="1"/>
    <x v="2"/>
    <x v="1"/>
  </r>
  <r>
    <n v="10496"/>
    <x v="495"/>
    <n v="2063"/>
    <x v="0"/>
    <n v="5"/>
    <n v="5.61"/>
    <n v="0.04"/>
    <x v="1"/>
    <x v="1"/>
    <n v="28.05"/>
    <n v="1.1220000000000001"/>
    <n v="26.928000000000001"/>
    <x v="1"/>
    <x v="1"/>
    <x v="0"/>
  </r>
  <r>
    <n v="10497"/>
    <x v="496"/>
    <n v="2069"/>
    <x v="4"/>
    <n v="2"/>
    <n v="153.91999999999999"/>
    <n v="0.21"/>
    <x v="2"/>
    <x v="1"/>
    <n v="307.83999999999997"/>
    <n v="64.646399999999986"/>
    <n v="243.1936"/>
    <x v="1"/>
    <x v="1"/>
    <x v="1"/>
  </r>
  <r>
    <n v="10498"/>
    <x v="497"/>
    <n v="2022"/>
    <x v="3"/>
    <n v="6"/>
    <n v="490.71"/>
    <n v="0.03"/>
    <x v="0"/>
    <x v="1"/>
    <n v="2944.2599999999998"/>
    <n v="88.327799999999996"/>
    <n v="2855.9321999999997"/>
    <x v="1"/>
    <x v="2"/>
    <x v="0"/>
  </r>
  <r>
    <n v="10499"/>
    <x v="498"/>
    <n v="2093"/>
    <x v="4"/>
    <n v="5"/>
    <n v="240.07"/>
    <n v="0.01"/>
    <x v="3"/>
    <x v="0"/>
    <n v="1200.3499999999999"/>
    <n v="12.003499999999999"/>
    <n v="1188.3464999999999"/>
    <x v="1"/>
    <x v="3"/>
    <x v="0"/>
  </r>
  <r>
    <n v="10500"/>
    <x v="499"/>
    <n v="2067"/>
    <x v="4"/>
    <n v="5"/>
    <n v="194.35"/>
    <n v="0.25"/>
    <x v="1"/>
    <x v="0"/>
    <n v="971.75"/>
    <n v="242.9375"/>
    <n v="728.8125"/>
    <x v="1"/>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A4E6F-307B-4AD0-B92C-46E4AB2231DF}" name="PivotTable3"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32:B45" firstHeaderRow="1" firstDataRow="1"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pivotField showAll="0"/>
    <pivotField showAll="0">
      <items count="4">
        <item x="1"/>
        <item x="0"/>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Price" fld="11" baseField="0" baseItem="0" numFmtId="2"/>
  </dataFields>
  <chartFormats count="2">
    <chartFormat chart="16"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B312BB-93D7-40D6-A6CC-CF44EC920BF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0:B66" firstHeaderRow="1" firstDataRow="1"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pivotField axis="axisRow" showAll="0">
      <items count="6">
        <item x="1"/>
        <item x="2"/>
        <item x="4"/>
        <item x="3"/>
        <item x="0"/>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Sum of Total Price" fld="11" baseField="0" baseItem="0" numFmtId="2"/>
  </dataFields>
  <chartFormats count="3">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3ED012-499A-4AD3-993A-65EC50C6286D}"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7:G33" firstHeaderRow="1" firstDataRow="1"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Price" fld="11" baseField="0" baseItem="0" numFmtId="2"/>
  </dataField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8CAA32-8AAB-4534-B66A-EAB81D172C6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6:C132" firstHeaderRow="0" firstDataRow="1" firstDataCol="1"/>
  <pivotFields count="18">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Price" fld="11" baseField="0" baseItem="0" numFmtId="2"/>
    <dataField name="Count of Order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26046C-8429-465B-BAE3-F47E9CE2EB9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B49" firstHeaderRow="1" firstDataRow="1"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s>
  <rowFields count="1">
    <field x="17"/>
  </rowFields>
  <rowItems count="3">
    <i>
      <x v="1"/>
    </i>
    <i>
      <x v="2"/>
    </i>
    <i t="grand">
      <x/>
    </i>
  </rowItems>
  <colItems count="1">
    <i/>
  </colItems>
  <dataFields count="1">
    <dataField name="Sum of Total Price" fld="11" baseField="0" baseItem="0" numFmtId="2"/>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7" count="1" selected="0">
            <x v="1"/>
          </reference>
        </references>
      </pivotArea>
    </chartFormat>
    <chartFormat chart="1" format="2">
      <pivotArea type="data" outline="0" fieldPosition="0">
        <references count="2">
          <reference field="4294967294" count="1" selected="0">
            <x v="0"/>
          </reference>
          <reference field="17"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53E344-A706-4683-ADD1-2DC935A67ED8}"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C113" firstHeaderRow="0" firstDataRow="1" firstDataCol="1"/>
  <pivotFields count="18">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Price" fld="11" baseField="0" baseItem="0" numFmtId="2"/>
    <dataField name="Count of Order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38B4FD-BBAF-48FC-9826-F71A19DBE344}"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C96" firstHeaderRow="0" firstDataRow="1" firstDataCol="1"/>
  <pivotFields count="18">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Price" fld="11" baseField="0" baseItem="0" numFmtId="2"/>
    <dataField name="Count of Order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5DF44A-4B37-4255-AB4B-69D65ED4E43B}" name="PivotTable2"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6:B22" firstHeaderRow="1" firstDataRow="1" firstDataCol="1"/>
  <pivotFields count="18">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3"/>
        <item x="0"/>
        <item x="4"/>
        <item x="2"/>
        <item x="1"/>
        <item t="default"/>
      </items>
    </pivotField>
    <pivotField showAll="0"/>
    <pivotField showAll="0"/>
    <pivotField showAll="0"/>
    <pivotField axis="axisRow" showAll="0">
      <items count="6">
        <item x="0"/>
        <item x="3"/>
        <item x="1"/>
        <item x="4"/>
        <item x="2"/>
        <item t="default"/>
      </items>
    </pivotField>
    <pivotField showAll="0"/>
    <pivotField showAll="0"/>
    <pivotField showAll="0"/>
    <pivotField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Count of OrderID" fld="0" subtotal="count" baseField="3" baseItem="0"/>
  </dataFields>
  <chartFormats count="1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7"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2"/>
          </reference>
        </references>
      </pivotArea>
    </chartFormat>
    <chartFormat chart="8" format="11">
      <pivotArea type="data" outline="0" fieldPosition="0">
        <references count="2">
          <reference field="4294967294" count="1" selected="0">
            <x v="0"/>
          </reference>
          <reference field="7" count="1" selected="0">
            <x v="3"/>
          </reference>
        </references>
      </pivotArea>
    </chartFormat>
    <chartFormat chart="8" format="12">
      <pivotArea type="data" outline="0" fieldPosition="0">
        <references count="2">
          <reference field="4294967294" count="1" selected="0">
            <x v="0"/>
          </reference>
          <reference field="7" count="1" selected="0">
            <x v="4"/>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1"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1D78E6-A04C-48B3-8050-379FA23ECFD0}"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76:C79" firstHeaderRow="0" firstDataRow="1" firstDataCol="1"/>
  <pivotFields count="18">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6">
        <item x="3"/>
        <item x="0"/>
        <item x="4"/>
        <item x="2"/>
        <item x="1"/>
        <item t="default"/>
      </items>
    </pivotField>
    <pivotField showAll="0"/>
    <pivotField showAll="0"/>
    <pivotField showAll="0"/>
    <pivotField showAll="0">
      <items count="6">
        <item x="0"/>
        <item x="3"/>
        <item x="1"/>
        <item x="4"/>
        <item x="2"/>
        <item t="default"/>
      </items>
    </pivotField>
    <pivotField axis="axisRow" showAll="0">
      <items count="3">
        <item x="0"/>
        <item x="1"/>
        <item t="default"/>
      </items>
    </pivotField>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t="grand">
      <x/>
    </i>
  </rowItems>
  <colFields count="1">
    <field x="-2"/>
  </colFields>
  <colItems count="2">
    <i>
      <x/>
    </i>
    <i i="1">
      <x v="1"/>
    </i>
  </colItems>
  <dataFields count="2">
    <dataField name="Sum of Total Price" fld="11" baseField="0" baseItem="0" numFmtId="2"/>
    <dataField name="Count of OrderID" fld="0" subtotal="count" baseField="3"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1"/>
          </reference>
          <reference field="8" count="1" selected="0">
            <x v="0"/>
          </reference>
        </references>
      </pivotArea>
    </chartFormat>
    <chartFormat chart="3" format="5">
      <pivotArea type="data" outline="0" fieldPosition="0">
        <references count="2">
          <reference field="4294967294" count="1" selected="0">
            <x v="1"/>
          </reference>
          <reference field="8"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8" count="1" selected="0">
            <x v="0"/>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8" count="1" selected="0">
            <x v="0"/>
          </reference>
        </references>
      </pivotArea>
    </chartFormat>
    <chartFormat chart="5" format="17">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453304-7DB5-4854-A9B7-F5C1A1E13C2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3"/>
        <item x="0"/>
        <item x="4"/>
        <item x="2"/>
        <item x="1"/>
        <item t="default"/>
      </items>
    </pivotField>
    <pivotField showAll="0"/>
    <pivotField showAll="0"/>
    <pivotField showAll="0"/>
    <pivotField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Price" fld="11" baseField="0" baseItem="0" numFmtId="2"/>
  </dataField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F50B57-A036-45F4-BD96-4C3C60D85FF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1:H58" firstHeaderRow="1" firstDataRow="2"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6">
        <item x="3"/>
        <item x="0"/>
        <item x="4"/>
        <item x="2"/>
        <item x="1"/>
        <item t="default"/>
      </items>
    </pivotField>
    <pivotField showAll="0"/>
    <pivotField showAll="0"/>
    <pivotField showAll="0"/>
    <pivotField axis="axisRow"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Fields count="1">
    <field x="3"/>
  </colFields>
  <colItems count="6">
    <i>
      <x/>
    </i>
    <i>
      <x v="1"/>
    </i>
    <i>
      <x v="2"/>
    </i>
    <i>
      <x v="3"/>
    </i>
    <i>
      <x v="4"/>
    </i>
    <i t="grand">
      <x/>
    </i>
  </colItems>
  <dataFields count="1">
    <dataField name="Sum of Total Price" fld="11" baseField="0" baseItem="0" numFmtId="2"/>
  </dataFields>
  <chartFormats count="30">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6" format="10" series="1">
      <pivotArea type="data" outline="0" fieldPosition="0">
        <references count="2">
          <reference field="4294967294" count="1" selected="0">
            <x v="0"/>
          </reference>
          <reference field="3" count="1" selected="0">
            <x v="0"/>
          </reference>
        </references>
      </pivotArea>
    </chartFormat>
    <chartFormat chart="6" format="11" series="1">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2">
          <reference field="4294967294" count="1" selected="0">
            <x v="0"/>
          </reference>
          <reference field="3" count="1" selected="0">
            <x v="2"/>
          </reference>
        </references>
      </pivotArea>
    </chartFormat>
    <chartFormat chart="6" format="13" series="1">
      <pivotArea type="data" outline="0" fieldPosition="0">
        <references count="2">
          <reference field="4294967294" count="1" selected="0">
            <x v="0"/>
          </reference>
          <reference field="3" count="1" selected="0">
            <x v="3"/>
          </reference>
        </references>
      </pivotArea>
    </chartFormat>
    <chartFormat chart="6" format="1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2">
          <reference field="4294967294" count="1" selected="0">
            <x v="0"/>
          </reference>
          <reference field="3" count="1" selected="0">
            <x v="2"/>
          </reference>
        </references>
      </pivotArea>
    </chartFormat>
    <chartFormat chart="7" format="8" series="1">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2">
          <reference field="4294967294" count="1" selected="0">
            <x v="0"/>
          </reference>
          <reference field="3" count="1" selected="0">
            <x v="4"/>
          </reference>
        </references>
      </pivotArea>
    </chartFormat>
    <chartFormat chart="8" format="10" series="1">
      <pivotArea type="data" outline="0" fieldPosition="0">
        <references count="2">
          <reference field="4294967294" count="1" selected="0">
            <x v="0"/>
          </reference>
          <reference field="3" count="1" selected="0">
            <x v="0"/>
          </reference>
        </references>
      </pivotArea>
    </chartFormat>
    <chartFormat chart="8" format="11" series="1">
      <pivotArea type="data" outline="0" fieldPosition="0">
        <references count="2">
          <reference field="4294967294" count="1" selected="0">
            <x v="0"/>
          </reference>
          <reference field="3" count="1" selected="0">
            <x v="1"/>
          </reference>
        </references>
      </pivotArea>
    </chartFormat>
    <chartFormat chart="8" format="12" series="1">
      <pivotArea type="data" outline="0" fieldPosition="0">
        <references count="2">
          <reference field="4294967294" count="1" selected="0">
            <x v="0"/>
          </reference>
          <reference field="3" count="1" selected="0">
            <x v="2"/>
          </reference>
        </references>
      </pivotArea>
    </chartFormat>
    <chartFormat chart="8" format="13" series="1">
      <pivotArea type="data" outline="0" fieldPosition="0">
        <references count="2">
          <reference field="4294967294" count="1" selected="0">
            <x v="0"/>
          </reference>
          <reference field="3" count="1" selected="0">
            <x v="3"/>
          </reference>
        </references>
      </pivotArea>
    </chartFormat>
    <chartFormat chart="8" format="14" series="1">
      <pivotArea type="data" outline="0" fieldPosition="0">
        <references count="2">
          <reference field="4294967294" count="1" selected="0">
            <x v="0"/>
          </reference>
          <reference field="3" count="1" selected="0">
            <x v="4"/>
          </reference>
        </references>
      </pivotArea>
    </chartFormat>
    <chartFormat chart="10" format="10" series="1">
      <pivotArea type="data" outline="0" fieldPosition="0">
        <references count="2">
          <reference field="4294967294" count="1" selected="0">
            <x v="0"/>
          </reference>
          <reference field="3" count="1" selected="0">
            <x v="0"/>
          </reference>
        </references>
      </pivotArea>
    </chartFormat>
    <chartFormat chart="10" format="11" series="1">
      <pivotArea type="data" outline="0" fieldPosition="0">
        <references count="2">
          <reference field="4294967294" count="1" selected="0">
            <x v="0"/>
          </reference>
          <reference field="3" count="1" selected="0">
            <x v="1"/>
          </reference>
        </references>
      </pivotArea>
    </chartFormat>
    <chartFormat chart="10" format="12" series="1">
      <pivotArea type="data" outline="0" fieldPosition="0">
        <references count="2">
          <reference field="4294967294" count="1" selected="0">
            <x v="0"/>
          </reference>
          <reference field="3" count="1" selected="0">
            <x v="2"/>
          </reference>
        </references>
      </pivotArea>
    </chartFormat>
    <chartFormat chart="10" format="13" series="1">
      <pivotArea type="data" outline="0" fieldPosition="0">
        <references count="2">
          <reference field="4294967294" count="1" selected="0">
            <x v="0"/>
          </reference>
          <reference field="3" count="1" selected="0">
            <x v="3"/>
          </reference>
        </references>
      </pivotArea>
    </chartFormat>
    <chartFormat chart="10" format="14" series="1">
      <pivotArea type="data" outline="0" fieldPosition="0">
        <references count="2">
          <reference field="4294967294" count="1" selected="0">
            <x v="0"/>
          </reference>
          <reference field="3" count="1" selected="0">
            <x v="4"/>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3"/>
          </reference>
        </references>
      </pivotArea>
    </chartFormat>
    <chartFormat chart="1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BE1205-AC3E-4A8E-87D6-6F06C9987ACF}"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0" firstHeaderRow="1" firstDataRow="2"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6">
        <item x="3"/>
        <item x="0"/>
        <item x="4"/>
        <item x="2"/>
        <item x="1"/>
        <item t="default"/>
      </items>
    </pivotField>
    <pivotField showAll="0"/>
    <pivotField showAll="0"/>
    <pivotField showAll="0"/>
    <pivotField axis="axisRow"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Fields count="1">
    <field x="3"/>
  </colFields>
  <colItems count="6">
    <i>
      <x/>
    </i>
    <i>
      <x v="1"/>
    </i>
    <i>
      <x v="2"/>
    </i>
    <i>
      <x v="3"/>
    </i>
    <i>
      <x v="4"/>
    </i>
    <i t="grand">
      <x/>
    </i>
  </colItems>
  <dataFields count="1">
    <dataField name="Sum of Total Price" fld="11" baseField="0" baseItem="0" numFmtId="2"/>
  </dataFields>
  <chartFormats count="25">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6" format="10" series="1">
      <pivotArea type="data" outline="0" fieldPosition="0">
        <references count="2">
          <reference field="4294967294" count="1" selected="0">
            <x v="0"/>
          </reference>
          <reference field="3" count="1" selected="0">
            <x v="0"/>
          </reference>
        </references>
      </pivotArea>
    </chartFormat>
    <chartFormat chart="6" format="11" series="1">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2">
          <reference field="4294967294" count="1" selected="0">
            <x v="0"/>
          </reference>
          <reference field="3" count="1" selected="0">
            <x v="2"/>
          </reference>
        </references>
      </pivotArea>
    </chartFormat>
    <chartFormat chart="6" format="13" series="1">
      <pivotArea type="data" outline="0" fieldPosition="0">
        <references count="2">
          <reference field="4294967294" count="1" selected="0">
            <x v="0"/>
          </reference>
          <reference field="3" count="1" selected="0">
            <x v="3"/>
          </reference>
        </references>
      </pivotArea>
    </chartFormat>
    <chartFormat chart="6" format="1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2">
          <reference field="4294967294" count="1" selected="0">
            <x v="0"/>
          </reference>
          <reference field="3" count="1" selected="0">
            <x v="2"/>
          </reference>
        </references>
      </pivotArea>
    </chartFormat>
    <chartFormat chart="7" format="8" series="1">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2">
          <reference field="4294967294" count="1" selected="0">
            <x v="0"/>
          </reference>
          <reference field="3" count="1" selected="0">
            <x v="4"/>
          </reference>
        </references>
      </pivotArea>
    </chartFormat>
    <chartFormat chart="8" format="10" series="1">
      <pivotArea type="data" outline="0" fieldPosition="0">
        <references count="2">
          <reference field="4294967294" count="1" selected="0">
            <x v="0"/>
          </reference>
          <reference field="3" count="1" selected="0">
            <x v="0"/>
          </reference>
        </references>
      </pivotArea>
    </chartFormat>
    <chartFormat chart="8" format="11" series="1">
      <pivotArea type="data" outline="0" fieldPosition="0">
        <references count="2">
          <reference field="4294967294" count="1" selected="0">
            <x v="0"/>
          </reference>
          <reference field="3" count="1" selected="0">
            <x v="1"/>
          </reference>
        </references>
      </pivotArea>
    </chartFormat>
    <chartFormat chart="8" format="12" series="1">
      <pivotArea type="data" outline="0" fieldPosition="0">
        <references count="2">
          <reference field="4294967294" count="1" selected="0">
            <x v="0"/>
          </reference>
          <reference field="3" count="1" selected="0">
            <x v="2"/>
          </reference>
        </references>
      </pivotArea>
    </chartFormat>
    <chartFormat chart="8" format="13" series="1">
      <pivotArea type="data" outline="0" fieldPosition="0">
        <references count="2">
          <reference field="4294967294" count="1" selected="0">
            <x v="0"/>
          </reference>
          <reference field="3" count="1" selected="0">
            <x v="3"/>
          </reference>
        </references>
      </pivotArea>
    </chartFormat>
    <chartFormat chart="8" format="14" series="1">
      <pivotArea type="data" outline="0" fieldPosition="0">
        <references count="2">
          <reference field="4294967294" count="1" selected="0">
            <x v="0"/>
          </reference>
          <reference field="3" count="1" selected="0">
            <x v="4"/>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3"/>
          </reference>
        </references>
      </pivotArea>
    </chartFormat>
    <chartFormat chart="1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BB263C-280E-4A67-8904-C681F6FDA5F4}"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G44" firstHeaderRow="1" firstDataRow="2" firstDataCol="1"/>
  <pivotFields count="18">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6">
        <item x="3"/>
        <item x="0"/>
        <item x="4"/>
        <item x="2"/>
        <item x="1"/>
        <item t="default"/>
      </items>
    </pivotField>
    <pivotField showAll="0"/>
    <pivotField showAll="0"/>
    <pivotField showAll="0"/>
    <pivotField axis="axisRow" showAll="0">
      <items count="6">
        <item x="0"/>
        <item x="3"/>
        <item x="1"/>
        <item x="4"/>
        <item x="2"/>
        <item t="default"/>
      </items>
    </pivotField>
    <pivotField showAll="0"/>
    <pivotField showAll="0"/>
    <pivotField showAll="0"/>
    <pivotField dataField="1" numFmtId="2" showAll="0"/>
    <pivotField showAll="0">
      <items count="3">
        <item x="0"/>
        <item x="1"/>
        <item t="default"/>
      </items>
    </pivotField>
    <pivotField showAll="0"/>
    <pivotField showAll="0">
      <items count="4">
        <item x="1"/>
        <item x="0"/>
        <item x="2"/>
        <item t="default"/>
      </items>
    </pivotField>
    <pivotField showAll="0" defaultSubtotal="0"/>
    <pivotField showAll="0" defaultSubtotal="0"/>
    <pivotField showAll="0" defaultSubtotal="0">
      <items count="4">
        <item x="0"/>
        <item x="1"/>
        <item x="2"/>
        <item x="3"/>
      </items>
    </pivotField>
  </pivotFields>
  <rowFields count="1">
    <field x="7"/>
  </rowFields>
  <rowItems count="6">
    <i>
      <x/>
    </i>
    <i>
      <x v="1"/>
    </i>
    <i>
      <x v="2"/>
    </i>
    <i>
      <x v="3"/>
    </i>
    <i>
      <x v="4"/>
    </i>
    <i t="grand">
      <x/>
    </i>
  </rowItems>
  <colFields count="1">
    <field x="3"/>
  </colFields>
  <colItems count="6">
    <i>
      <x/>
    </i>
    <i>
      <x v="1"/>
    </i>
    <i>
      <x v="2"/>
    </i>
    <i>
      <x v="3"/>
    </i>
    <i>
      <x v="4"/>
    </i>
    <i t="grand">
      <x/>
    </i>
  </colItems>
  <dataFields count="1">
    <dataField name="Sum of Total Price" fld="11" baseField="0" baseItem="0" numFmtId="2"/>
  </dataFields>
  <chartFormats count="10">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6" format="10" series="1">
      <pivotArea type="data" outline="0" fieldPosition="0">
        <references count="2">
          <reference field="4294967294" count="1" selected="0">
            <x v="0"/>
          </reference>
          <reference field="3" count="1" selected="0">
            <x v="0"/>
          </reference>
        </references>
      </pivotArea>
    </chartFormat>
    <chartFormat chart="6" format="11" series="1">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2">
          <reference field="4294967294" count="1" selected="0">
            <x v="0"/>
          </reference>
          <reference field="3" count="1" selected="0">
            <x v="2"/>
          </reference>
        </references>
      </pivotArea>
    </chartFormat>
    <chartFormat chart="6" format="13" series="1">
      <pivotArea type="data" outline="0" fieldPosition="0">
        <references count="2">
          <reference field="4294967294" count="1" selected="0">
            <x v="0"/>
          </reference>
          <reference field="3" count="1" selected="0">
            <x v="3"/>
          </reference>
        </references>
      </pivotArea>
    </chartFormat>
    <chartFormat chart="6"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19203A-CCBB-4A00-8F7B-CFE1C03983B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0" firstDataRow="1" firstDataCol="1"/>
  <pivotFields count="18">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items count="6">
        <item x="0"/>
        <item x="3"/>
        <item x="1"/>
        <item x="4"/>
        <item x="2"/>
        <item t="default"/>
      </items>
    </pivotField>
    <pivotField showAll="0"/>
    <pivotField showAll="0"/>
    <pivotField dataField="1" showAll="0"/>
    <pivotField dataField="1" numFmtId="2" showAll="0"/>
    <pivotField showAll="0">
      <items count="3">
        <item x="0"/>
        <item x="1"/>
        <item t="default"/>
      </items>
    </pivotField>
    <pivotField showAll="0"/>
    <pivotField axis="axisRow" showAll="0">
      <items count="4">
        <item x="1"/>
        <item x="0"/>
        <item x="2"/>
        <item t="default"/>
      </items>
    </pivotField>
    <pivotField showAll="0" defaultSubtotal="0"/>
    <pivotField showAll="0" defaultSubtotal="0"/>
    <pivotField showAll="0" defaultSubtotal="0">
      <items count="4">
        <item x="0"/>
        <item x="1"/>
        <item x="2"/>
        <item x="3"/>
      </items>
    </pivotField>
  </pivotFields>
  <rowFields count="1">
    <field x="14"/>
  </rowFields>
  <rowItems count="4">
    <i>
      <x/>
    </i>
    <i>
      <x v="1"/>
    </i>
    <i>
      <x v="2"/>
    </i>
    <i t="grand">
      <x/>
    </i>
  </rowItems>
  <colFields count="1">
    <field x="-2"/>
  </colFields>
  <colItems count="3">
    <i>
      <x/>
    </i>
    <i i="1">
      <x v="1"/>
    </i>
    <i i="2">
      <x v="2"/>
    </i>
  </colItems>
  <dataFields count="3">
    <dataField name="Sum of Total Discount" fld="10" baseField="0" baseItem="0"/>
    <dataField name="Count of OrderID" fld="0" subtotal="count" baseField="14" baseItem="0"/>
    <dataField name="Sum of Total Price" fld="11" baseField="0" baseItem="0" numFmtId="2"/>
  </dataFields>
  <chartFormats count="6">
    <chartFormat chart="2" format="0" series="1">
      <pivotArea type="data" outline="0" fieldPosition="0">
        <references count="1">
          <reference field="4294967294" count="1" selected="0">
            <x v="2"/>
          </reference>
        </references>
      </pivotArea>
    </chartFormat>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015E06-9E29-4985-B96B-9CBEA5E87B9B}" autoFormatId="16" applyNumberFormats="0" applyBorderFormats="0" applyFontFormats="0" applyPatternFormats="0" applyAlignmentFormats="0" applyWidthHeightFormats="0">
  <queryTableRefresh nextId="18" unboundColumnsRight="6">
    <queryTableFields count="15">
      <queryTableField id="1" name="OrderID" tableColumnId="1"/>
      <queryTableField id="2" name="OrderDate" tableColumnId="2"/>
      <queryTableField id="3" name="ProductID" tableColumnId="3"/>
      <queryTableField id="4" name="ProductCategory" tableColumnId="4"/>
      <queryTableField id="5" name="Quantity" tableColumnId="5"/>
      <queryTableField id="6" name="UnitPrice" tableColumnId="6"/>
      <queryTableField id="7" name="Discount" tableColumnId="7"/>
      <queryTableField id="9" name="Region" tableColumnId="9"/>
      <queryTableField id="10" name="SalesChannel"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DeletedFields count="1">
      <deletedField name="SalesAm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F6EC7A-2FAB-4DCF-8600-A494497E71D2}" sourceName="Region">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7" name="PivotTable11"/>
    <pivotTable tabId="7" name="PivotTable12"/>
    <pivotTable tabId="7" name="PivotTable1"/>
    <pivotTable tabId="8" name="PivotTable3"/>
  </pivotTables>
  <data>
    <tabular pivotCacheId="872638682">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38715E-A70E-4251-90F0-CC611D6DABB7}" sourceName="Year">
  <pivotTables>
    <pivotTable tabId="3" name="PivotTable2"/>
    <pivotTable tabId="3" name="PivotTable1"/>
    <pivotTable tabId="3" name="PivotTable10"/>
    <pivotTable tabId="3" name="PivotTable6"/>
    <pivotTable tabId="3" name="PivotTable7"/>
    <pivotTable tabId="3" name="PivotTable8"/>
    <pivotTable tabId="3" name="PivotTable9"/>
    <pivotTable tabId="7" name="PivotTable11"/>
    <pivotTable tabId="7" name="PivotTable12"/>
    <pivotTable tabId="7" name="PivotTable1"/>
    <pivotTable tabId="8" name="PivotTable3"/>
  </pivotTables>
  <data>
    <tabular pivotCacheId="87263868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483E54FB-BB29-44C1-B2A4-4AEADE9C19B6}" sourceName="ProductCategory">
  <pivotTables>
    <pivotTable tabId="3" name="PivotTable2"/>
    <pivotTable tabId="3" name="PivotTable1"/>
    <pivotTable tabId="3" name="PivotTable10"/>
    <pivotTable tabId="3" name="PivotTable3"/>
    <pivotTable tabId="3" name="PivotTable4"/>
    <pivotTable tabId="3" name="PivotTable6"/>
    <pivotTable tabId="3" name="PivotTable7"/>
    <pivotTable tabId="3" name="PivotTable8"/>
    <pivotTable tabId="3" name="PivotTable9"/>
    <pivotTable tabId="7" name="PivotTable11"/>
    <pivotTable tabId="7" name="PivotTable12"/>
    <pivotTable tabId="7" name="PivotTable1"/>
  </pivotTables>
  <data>
    <tabular pivotCacheId="872638682">
      <items count="5">
        <i x="3" s="1"/>
        <i x="0" s="1"/>
        <i x="4"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untRange" xr10:uid="{F88C3598-7030-4F80-8EB1-CF4BD788ADE0}" sourceName="DiscuntRange ">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7" name="PivotTable1"/>
    <pivotTable tabId="7" name="PivotTable11"/>
    <pivotTable tabId="7" name="PivotTable12"/>
    <pivotTable tabId="8" name="PivotTable3"/>
  </pivotTables>
  <data>
    <tabular pivotCacheId="87263868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B55687-07D6-42FC-A294-AAA8FE72FB03}" cache="Slicer_Region" caption="Region" rowHeight="247650"/>
  <slicer name="Year" xr10:uid="{85D3F61A-D098-48B9-8E0E-D3B1D2C370CA}" cache="Slicer_Year" caption="Year" rowHeight="247650"/>
  <slicer name="ProductCategory" xr10:uid="{370B4C39-455D-41CC-B045-FAC66D9CC939}" cache="Slicer_ProductCategory" caption="ProductCategory" rowHeight="247650"/>
  <slicer name="DiscuntRange " xr10:uid="{971ED94D-8EAC-43AD-9A4C-478E2165DE1F}" cache="Slicer_DiscuntRange" caption="DiscuntRange "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A79A3-8BDE-44A9-A672-D78849400879}" name="amazon_store_sales_2022__1" displayName="amazon_store_sales_2022__1" ref="A1:O501" tableType="queryTable" totalsRowShown="0">
  <tableColumns count="15">
    <tableColumn id="1" xr3:uid="{2DAE6504-00E8-4920-9AB1-640E54CE18AE}" uniqueName="1" name="OrderID" queryTableFieldId="1"/>
    <tableColumn id="2" xr3:uid="{9B69458A-BD55-464D-9695-BF82163B5335}" uniqueName="2" name="OrderDate" queryTableFieldId="2" dataDxfId="9"/>
    <tableColumn id="3" xr3:uid="{722CB2CA-363D-4967-8539-42963140540F}" uniqueName="3" name="ProductID" queryTableFieldId="3"/>
    <tableColumn id="4" xr3:uid="{B7A311A6-CA56-421E-A694-AD5CC9315CD4}" uniqueName="4" name="ProductCategory" queryTableFieldId="4" dataDxfId="8"/>
    <tableColumn id="5" xr3:uid="{6AD82AB9-1BE4-4066-A85C-8C0A51DDF25F}" uniqueName="5" name="Quantity" queryTableFieldId="5"/>
    <tableColumn id="6" xr3:uid="{725A9A78-FFAA-4440-8D59-BFFE7C39AE4B}" uniqueName="6" name="UnitPrice" queryTableFieldId="6"/>
    <tableColumn id="7" xr3:uid="{2ECAC31D-AD4D-4083-ABFA-3D8F401EF76B}" uniqueName="7" name="Discount" queryTableFieldId="7"/>
    <tableColumn id="9" xr3:uid="{38E6F244-871C-4F2E-9487-AD40C77AF3F6}" uniqueName="9" name="Region" queryTableFieldId="9" dataDxfId="7"/>
    <tableColumn id="10" xr3:uid="{236A9B72-5D5A-4187-AA7D-4B1885170476}" uniqueName="10" name="SalesChannel" queryTableFieldId="10" dataDxfId="6"/>
    <tableColumn id="11" xr3:uid="{19621E97-E67B-4F77-BFD8-106EA0CA6D26}" uniqueName="11" name="Total " queryTableFieldId="11" dataDxfId="5">
      <calculatedColumnFormula>amazon_store_sales_2022__1[[#This Row],[UnitPrice]]*amazon_store_sales_2022__1[[#This Row],[Quantity]]</calculatedColumnFormula>
    </tableColumn>
    <tableColumn id="12" xr3:uid="{F0FFAA1F-E5F8-418A-B047-542AA2E7C71B}" uniqueName="12" name="Total Discount" queryTableFieldId="12" dataDxfId="4">
      <calculatedColumnFormula>amazon_store_sales_2022__1[[#This Row],[Total ]]*amazon_store_sales_2022__1[[#This Row],[Discount]]</calculatedColumnFormula>
    </tableColumn>
    <tableColumn id="13" xr3:uid="{1F9DC4E4-D372-49D6-8F7F-A49819B26370}" uniqueName="13" name="Total Price" queryTableFieldId="13" dataDxfId="3">
      <calculatedColumnFormula>amazon_store_sales_2022__1[[#This Row],[Total ]]-amazon_store_sales_2022__1[[#This Row],[Total Discount]]</calculatedColumnFormula>
    </tableColumn>
    <tableColumn id="14" xr3:uid="{019053F7-993C-4F4D-A13F-4E6039C2EB63}" uniqueName="14" name="Year" queryTableFieldId="14" dataDxfId="2">
      <calculatedColumnFormula>YEAR(amazon_store_sales_2022__1[[#This Row],[OrderDate]])</calculatedColumnFormula>
    </tableColumn>
    <tableColumn id="15" xr3:uid="{F2D26B8C-90DE-437A-B865-430AB6D68B79}" uniqueName="15" name="Sales Range" queryTableFieldId="15" dataDxfId="1">
      <calculatedColumnFormula array="1">_xlfn.IFS(L2&lt;500," VeryLow",L2&lt;1000,"Low",L2&lt;2000,"Medium",L2&lt;3000,"High",L2&lt;5000,"VeryHigh")</calculatedColumnFormula>
    </tableColumn>
    <tableColumn id="16" xr3:uid="{4F2DF933-F355-401F-B5E2-787A2F8021F2}" uniqueName="16" name="DiscuntRange " queryTableFieldId="16" dataDxfId="0">
      <calculatedColumnFormula array="1">_xlfn.IFS(G2&lt;0.09,"Low",G2&lt;0.2,"Medium",G2&lt;0.4,"High")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0193A6-F79A-42CC-AC03-0BE594915AA6}" name="Table2" displayName="Table2" ref="A3:O114" totalsRowShown="0">
  <autoFilter ref="A3:O114" xr:uid="{790193A6-F79A-42CC-AC03-0BE594915AA6}"/>
  <tableColumns count="15">
    <tableColumn id="1" xr3:uid="{35DDD56C-375B-4CCE-A4DC-25BA62D3350B}" name="OrderID"/>
    <tableColumn id="2" xr3:uid="{7D5EB8E8-4B51-444C-ACB8-814D30DFB93C}" name="OrderDate" dataDxfId="10"/>
    <tableColumn id="3" xr3:uid="{161F660B-D7DF-4BD7-8EC6-BC156EEFF190}" name="ProductID"/>
    <tableColumn id="4" xr3:uid="{349D9A93-EEB0-468D-B9BA-1B2568B9CC12}" name="ProductCategory"/>
    <tableColumn id="5" xr3:uid="{CDF59658-C2C3-4817-B00B-2D3013D91593}" name="Quantity"/>
    <tableColumn id="6" xr3:uid="{11C3A6A7-6D6A-4619-8401-3E7B3891DC71}" name="UnitPrice"/>
    <tableColumn id="7" xr3:uid="{E6F32D09-4EE4-4CFC-8452-C49E5B4D046C}" name="Discount"/>
    <tableColumn id="8" xr3:uid="{19EBA5DA-5886-4B6C-9F5A-C0EAC0CDF98C}" name="Region"/>
    <tableColumn id="9" xr3:uid="{928B1EF1-9BCF-4CAB-AF0B-AD072742848B}" name="SalesChannel"/>
    <tableColumn id="10" xr3:uid="{714D6599-F9FC-4971-BC10-E2DF2A10751D}" name="Total "/>
    <tableColumn id="11" xr3:uid="{D0EC4D78-48F2-48ED-B8F4-73D5BBB14083}" name="Total Discount"/>
    <tableColumn id="12" xr3:uid="{63FCD39F-9A70-4ED2-806D-A0D8E7B85BD5}" name="Total Price"/>
    <tableColumn id="13" xr3:uid="{96D0D31B-5264-413C-8941-47DD927BC453}" name="Year"/>
    <tableColumn id="14" xr3:uid="{92CCDF9D-707E-45C8-AD0F-BB4D857BCC96}" name="Sales Range"/>
    <tableColumn id="15" xr3:uid="{32F94EE5-06DE-4256-B068-60DC2A6593DA}" name="Discunt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AB45-B915-4C6A-A3B3-C04B0DAE2EBA}">
  <dimension ref="A1:Y699"/>
  <sheetViews>
    <sheetView tabSelected="1" zoomScaleNormal="100" workbookViewId="0">
      <selection sqref="A1:W1"/>
    </sheetView>
  </sheetViews>
  <sheetFormatPr defaultRowHeight="14.4" x14ac:dyDescent="0.3"/>
  <sheetData>
    <row r="1" spans="1:25" ht="26.4" customHeight="1" thickBot="1" x14ac:dyDescent="0.65">
      <c r="A1" s="35" t="s">
        <v>50</v>
      </c>
      <c r="B1" s="36"/>
      <c r="C1" s="36"/>
      <c r="D1" s="36"/>
      <c r="E1" s="36"/>
      <c r="F1" s="36"/>
      <c r="G1" s="36"/>
      <c r="H1" s="36"/>
      <c r="I1" s="36"/>
      <c r="J1" s="36"/>
      <c r="K1" s="36"/>
      <c r="L1" s="36"/>
      <c r="M1" s="36"/>
      <c r="N1" s="36"/>
      <c r="O1" s="36"/>
      <c r="P1" s="36"/>
      <c r="Q1" s="36"/>
      <c r="R1" s="36"/>
      <c r="S1" s="36"/>
      <c r="T1" s="36"/>
      <c r="U1" s="36"/>
      <c r="V1" s="36"/>
      <c r="W1" s="37"/>
      <c r="X1" s="26"/>
      <c r="Y1" s="27"/>
    </row>
    <row r="2" spans="1:25" ht="8.4" customHeight="1" thickBot="1" x14ac:dyDescent="0.35">
      <c r="A2" s="28"/>
      <c r="B2" s="29"/>
      <c r="C2" s="29"/>
      <c r="D2" s="29"/>
      <c r="E2" s="29"/>
      <c r="F2" s="29"/>
      <c r="G2" s="29"/>
      <c r="H2" s="29"/>
      <c r="I2" s="29"/>
      <c r="J2" s="29"/>
      <c r="K2" s="29"/>
      <c r="L2" s="29"/>
      <c r="M2" s="29"/>
      <c r="N2" s="29"/>
      <c r="O2" s="29"/>
      <c r="P2" s="29"/>
      <c r="Q2" s="29"/>
      <c r="R2" s="29"/>
      <c r="S2" s="29"/>
      <c r="T2" s="29"/>
      <c r="U2" s="29"/>
      <c r="V2" s="29"/>
      <c r="W2" s="29"/>
      <c r="X2" s="29"/>
      <c r="Y2" s="30"/>
    </row>
    <row r="3" spans="1:25" ht="15" thickBot="1" x14ac:dyDescent="0.35">
      <c r="A3" s="28"/>
      <c r="B3" s="29"/>
      <c r="C3" s="29"/>
      <c r="D3" s="29"/>
      <c r="E3" s="29"/>
      <c r="F3" s="29"/>
      <c r="G3" s="29"/>
      <c r="H3" s="29"/>
      <c r="I3" s="29"/>
      <c r="J3" s="29"/>
      <c r="K3" s="29"/>
      <c r="L3" s="29"/>
      <c r="M3" s="29"/>
      <c r="N3" s="29"/>
      <c r="O3" s="29"/>
      <c r="P3" s="29"/>
      <c r="Q3" s="29"/>
      <c r="R3" s="29"/>
      <c r="S3" s="29"/>
      <c r="T3" s="29"/>
      <c r="U3" s="29"/>
      <c r="V3" s="29"/>
      <c r="W3" s="29"/>
      <c r="X3" s="29"/>
      <c r="Y3" s="30"/>
    </row>
    <row r="4" spans="1:25" ht="15" thickBot="1" x14ac:dyDescent="0.35">
      <c r="A4" s="28"/>
      <c r="B4" s="29"/>
      <c r="C4" s="29"/>
      <c r="D4" s="29"/>
      <c r="E4" s="29"/>
      <c r="F4" s="29"/>
      <c r="G4" s="29"/>
      <c r="H4" s="29"/>
      <c r="I4" s="29"/>
      <c r="J4" s="29"/>
      <c r="K4" s="29"/>
      <c r="L4" s="29"/>
      <c r="M4" s="29"/>
      <c r="N4" s="29"/>
      <c r="O4" s="29"/>
      <c r="P4" s="29"/>
      <c r="Q4" s="29"/>
      <c r="R4" s="29"/>
      <c r="S4" s="29"/>
      <c r="T4" s="29"/>
      <c r="U4" s="29"/>
      <c r="V4" s="29"/>
      <c r="W4" s="29"/>
      <c r="X4" s="29"/>
      <c r="Y4" s="30"/>
    </row>
    <row r="5" spans="1:25" ht="15" thickBot="1" x14ac:dyDescent="0.35">
      <c r="A5" s="28"/>
      <c r="B5" s="29"/>
      <c r="C5" s="29"/>
      <c r="D5" s="29"/>
      <c r="E5" s="29"/>
      <c r="F5" s="29"/>
      <c r="G5" s="29"/>
      <c r="H5" s="29"/>
      <c r="I5" s="29"/>
      <c r="J5" s="29"/>
      <c r="K5" s="29"/>
      <c r="L5" s="29"/>
      <c r="M5" s="29"/>
      <c r="N5" s="29"/>
      <c r="O5" s="29"/>
      <c r="P5" s="29"/>
      <c r="Q5" s="29"/>
      <c r="R5" s="29"/>
      <c r="S5" s="29"/>
      <c r="T5" s="29"/>
      <c r="U5" s="29"/>
      <c r="V5" s="29"/>
      <c r="W5" s="29"/>
      <c r="X5" s="29"/>
      <c r="Y5" s="30"/>
    </row>
    <row r="6" spans="1:25" ht="15" thickBot="1" x14ac:dyDescent="0.35">
      <c r="A6" s="28"/>
      <c r="B6" s="29"/>
      <c r="C6" s="29"/>
      <c r="D6" s="29"/>
      <c r="E6" s="29"/>
      <c r="F6" s="29"/>
      <c r="G6" s="29"/>
      <c r="H6" s="29"/>
      <c r="I6" s="29"/>
      <c r="J6" s="29"/>
      <c r="K6" s="29"/>
      <c r="L6" s="29"/>
      <c r="M6" s="29"/>
      <c r="N6" s="29"/>
      <c r="O6" s="29"/>
      <c r="P6" s="29"/>
      <c r="Q6" s="29"/>
      <c r="R6" s="29"/>
      <c r="S6" s="29"/>
      <c r="T6" s="29"/>
      <c r="U6" s="29"/>
      <c r="V6" s="29"/>
      <c r="W6" s="29"/>
      <c r="X6" s="29"/>
      <c r="Y6" s="30"/>
    </row>
    <row r="7" spans="1:25" ht="15" thickBot="1" x14ac:dyDescent="0.35">
      <c r="A7" s="28"/>
      <c r="B7" s="29"/>
      <c r="C7" s="29"/>
      <c r="D7" s="29"/>
      <c r="E7" s="29"/>
      <c r="F7" s="29"/>
      <c r="G7" s="29"/>
      <c r="H7" s="29"/>
      <c r="I7" s="29"/>
      <c r="J7" s="29"/>
      <c r="K7" s="29"/>
      <c r="L7" s="29"/>
      <c r="M7" s="29"/>
      <c r="N7" s="29"/>
      <c r="O7" s="29"/>
      <c r="P7" s="29"/>
      <c r="Q7" s="29"/>
      <c r="R7" s="29"/>
      <c r="S7" s="29"/>
      <c r="T7" s="29"/>
      <c r="U7" s="29"/>
      <c r="V7" s="29"/>
      <c r="W7" s="29"/>
      <c r="X7" s="29"/>
      <c r="Y7" s="30"/>
    </row>
    <row r="8" spans="1:25" ht="15" thickBot="1" x14ac:dyDescent="0.35">
      <c r="A8" s="28"/>
      <c r="B8" s="29"/>
      <c r="C8" s="29"/>
      <c r="D8" s="29"/>
      <c r="E8" s="29"/>
      <c r="F8" s="29"/>
      <c r="G8" s="29"/>
      <c r="H8" s="29"/>
      <c r="I8" s="29"/>
      <c r="J8" s="29"/>
      <c r="K8" s="29"/>
      <c r="L8" s="29"/>
      <c r="M8" s="29"/>
      <c r="N8" s="29"/>
      <c r="O8" s="29"/>
      <c r="P8" s="29"/>
      <c r="Q8" s="29"/>
      <c r="R8" s="29"/>
      <c r="S8" s="29"/>
      <c r="T8" s="29"/>
      <c r="U8" s="29"/>
      <c r="V8" s="29"/>
      <c r="W8" s="29"/>
      <c r="X8" s="29"/>
      <c r="Y8" s="30"/>
    </row>
    <row r="9" spans="1:25" ht="15" thickBot="1" x14ac:dyDescent="0.35">
      <c r="A9" s="28"/>
      <c r="B9" s="29"/>
      <c r="C9" s="29"/>
      <c r="D9" s="29"/>
      <c r="E9" s="29"/>
      <c r="F9" s="29"/>
      <c r="G9" s="29"/>
      <c r="H9" s="29"/>
      <c r="I9" s="29"/>
      <c r="J9" s="29"/>
      <c r="K9" s="29"/>
      <c r="L9" s="29"/>
      <c r="M9" s="29"/>
      <c r="N9" s="29"/>
      <c r="O9" s="29"/>
      <c r="P9" s="29"/>
      <c r="Q9" s="29"/>
      <c r="R9" s="29"/>
      <c r="S9" s="29"/>
      <c r="T9" s="29"/>
      <c r="U9" s="29"/>
      <c r="V9" s="29"/>
      <c r="W9" s="29"/>
      <c r="X9" s="29"/>
      <c r="Y9" s="30"/>
    </row>
    <row r="10" spans="1:25" ht="15" thickBot="1" x14ac:dyDescent="0.35">
      <c r="A10" s="28"/>
      <c r="B10" s="29"/>
      <c r="C10" s="29"/>
      <c r="D10" s="29"/>
      <c r="E10" s="29"/>
      <c r="F10" s="29"/>
      <c r="G10" s="29"/>
      <c r="H10" s="29"/>
      <c r="I10" s="29"/>
      <c r="J10" s="29"/>
      <c r="K10" s="29"/>
      <c r="L10" s="29"/>
      <c r="M10" s="29"/>
      <c r="N10" s="29"/>
      <c r="O10" s="29"/>
      <c r="P10" s="29"/>
      <c r="Q10" s="29"/>
      <c r="R10" s="29"/>
      <c r="S10" s="29"/>
      <c r="T10" s="29"/>
      <c r="U10" s="29"/>
      <c r="V10" s="29"/>
      <c r="W10" s="29"/>
      <c r="X10" s="29"/>
      <c r="Y10" s="30"/>
    </row>
    <row r="11" spans="1:25" ht="15" thickBot="1" x14ac:dyDescent="0.35">
      <c r="A11" s="28"/>
      <c r="B11" s="29"/>
      <c r="C11" s="29"/>
      <c r="D11" s="29"/>
      <c r="E11" s="29"/>
      <c r="F11" s="29"/>
      <c r="G11" s="29"/>
      <c r="H11" s="29"/>
      <c r="I11" s="29"/>
      <c r="J11" s="29"/>
      <c r="K11" s="29"/>
      <c r="L11" s="29"/>
      <c r="M11" s="29"/>
      <c r="N11" s="29"/>
      <c r="O11" s="29"/>
      <c r="P11" s="29"/>
      <c r="Q11" s="29"/>
      <c r="R11" s="29"/>
      <c r="S11" s="29"/>
      <c r="T11" s="29"/>
      <c r="U11" s="29"/>
      <c r="V11" s="29"/>
      <c r="W11" s="29"/>
      <c r="X11" s="29"/>
      <c r="Y11" s="30"/>
    </row>
    <row r="12" spans="1:25" ht="15" thickBot="1" x14ac:dyDescent="0.35">
      <c r="A12" s="28"/>
      <c r="B12" s="29"/>
      <c r="C12" s="29"/>
      <c r="D12" s="29"/>
      <c r="E12" s="29"/>
      <c r="F12" s="29"/>
      <c r="G12" s="29"/>
      <c r="H12" s="29"/>
      <c r="I12" s="29"/>
      <c r="J12" s="29"/>
      <c r="K12" s="29"/>
      <c r="L12" s="29"/>
      <c r="M12" s="29"/>
      <c r="N12" s="29"/>
      <c r="O12" s="29"/>
      <c r="P12" s="29"/>
      <c r="Q12" s="29"/>
      <c r="R12" s="29"/>
      <c r="S12" s="29"/>
      <c r="T12" s="29"/>
      <c r="U12" s="29"/>
      <c r="V12" s="29"/>
      <c r="W12" s="29"/>
      <c r="X12" s="29"/>
      <c r="Y12" s="30"/>
    </row>
    <row r="13" spans="1:25" ht="15" thickBot="1" x14ac:dyDescent="0.35">
      <c r="A13" s="28"/>
      <c r="B13" s="29"/>
      <c r="C13" s="29"/>
      <c r="D13" s="29"/>
      <c r="E13" s="29"/>
      <c r="F13" s="29"/>
      <c r="G13" s="29"/>
      <c r="H13" s="29"/>
      <c r="I13" s="29"/>
      <c r="J13" s="29"/>
      <c r="K13" s="29"/>
      <c r="L13" s="29"/>
      <c r="M13" s="29"/>
      <c r="N13" s="29"/>
      <c r="O13" s="29"/>
      <c r="P13" s="29"/>
      <c r="Q13" s="29"/>
      <c r="R13" s="29"/>
      <c r="S13" s="29"/>
      <c r="T13" s="29"/>
      <c r="U13" s="29"/>
      <c r="V13" s="29"/>
      <c r="W13" s="29"/>
      <c r="X13" s="29"/>
      <c r="Y13" s="30"/>
    </row>
    <row r="14" spans="1:25" ht="15" thickBot="1" x14ac:dyDescent="0.35">
      <c r="A14" s="28"/>
      <c r="B14" s="29"/>
      <c r="C14" s="29"/>
      <c r="D14" s="29"/>
      <c r="E14" s="29"/>
      <c r="F14" s="29"/>
      <c r="G14" s="29"/>
      <c r="H14" s="29"/>
      <c r="I14" s="29"/>
      <c r="J14" s="29"/>
      <c r="K14" s="29"/>
      <c r="L14" s="29"/>
      <c r="M14" s="29"/>
      <c r="N14" s="29"/>
      <c r="O14" s="29"/>
      <c r="P14" s="29"/>
      <c r="Q14" s="29"/>
      <c r="R14" s="29"/>
      <c r="S14" s="29"/>
      <c r="T14" s="29"/>
      <c r="U14" s="29"/>
      <c r="V14" s="29"/>
      <c r="W14" s="29"/>
      <c r="X14" s="29"/>
      <c r="Y14" s="30"/>
    </row>
    <row r="15" spans="1:25" ht="15" thickBot="1" x14ac:dyDescent="0.35">
      <c r="A15" s="28"/>
      <c r="B15" s="29"/>
      <c r="C15" s="29"/>
      <c r="D15" s="29"/>
      <c r="E15" s="29"/>
      <c r="F15" s="29"/>
      <c r="G15" s="29"/>
      <c r="H15" s="29"/>
      <c r="I15" s="29"/>
      <c r="J15" s="29"/>
      <c r="K15" s="29"/>
      <c r="L15" s="29"/>
      <c r="M15" s="29"/>
      <c r="N15" s="29"/>
      <c r="O15" s="29"/>
      <c r="P15" s="29"/>
      <c r="Q15" s="29"/>
      <c r="R15" s="29"/>
      <c r="S15" s="29"/>
      <c r="T15" s="29"/>
      <c r="U15" s="29"/>
      <c r="V15" s="29"/>
      <c r="W15" s="29"/>
      <c r="X15" s="29"/>
      <c r="Y15" s="30"/>
    </row>
    <row r="16" spans="1:25" ht="15" thickBot="1" x14ac:dyDescent="0.35">
      <c r="A16" s="28"/>
      <c r="B16" s="29"/>
      <c r="C16" s="29"/>
      <c r="D16" s="29"/>
      <c r="E16" s="29"/>
      <c r="F16" s="29"/>
      <c r="G16" s="29"/>
      <c r="H16" s="29"/>
      <c r="I16" s="29"/>
      <c r="J16" s="29"/>
      <c r="K16" s="29"/>
      <c r="L16" s="29"/>
      <c r="M16" s="29"/>
      <c r="N16" s="29"/>
      <c r="O16" s="29"/>
      <c r="P16" s="29"/>
      <c r="Q16" s="29"/>
      <c r="R16" s="29"/>
      <c r="S16" s="29"/>
      <c r="T16" s="29"/>
      <c r="U16" s="29"/>
      <c r="V16" s="29"/>
      <c r="W16" s="29"/>
      <c r="X16" s="29"/>
      <c r="Y16" s="30"/>
    </row>
    <row r="17" spans="1:25" ht="15" thickBot="1" x14ac:dyDescent="0.35">
      <c r="A17" s="28"/>
      <c r="B17" s="29"/>
      <c r="C17" s="29"/>
      <c r="D17" s="29"/>
      <c r="E17" s="29"/>
      <c r="F17" s="29"/>
      <c r="G17" s="29"/>
      <c r="H17" s="29"/>
      <c r="I17" s="29"/>
      <c r="J17" s="29"/>
      <c r="K17" s="29"/>
      <c r="L17" s="29"/>
      <c r="M17" s="29"/>
      <c r="N17" s="29"/>
      <c r="O17" s="29"/>
      <c r="P17" s="29"/>
      <c r="Q17" s="29"/>
      <c r="R17" s="29"/>
      <c r="S17" s="29"/>
      <c r="T17" s="29"/>
      <c r="U17" s="29"/>
      <c r="V17" s="29"/>
      <c r="W17" s="29"/>
      <c r="X17" s="29"/>
      <c r="Y17" s="30"/>
    </row>
    <row r="18" spans="1:25" ht="15" thickBot="1" x14ac:dyDescent="0.35">
      <c r="A18" s="28"/>
      <c r="B18" s="29"/>
      <c r="C18" s="29"/>
      <c r="D18" s="29"/>
      <c r="E18" s="29"/>
      <c r="F18" s="29"/>
      <c r="G18" s="29"/>
      <c r="H18" s="29"/>
      <c r="I18" s="29"/>
      <c r="J18" s="29"/>
      <c r="K18" s="29"/>
      <c r="L18" s="29"/>
      <c r="M18" s="29"/>
      <c r="N18" s="29"/>
      <c r="O18" s="29"/>
      <c r="P18" s="29"/>
      <c r="Q18" s="29"/>
      <c r="R18" s="29"/>
      <c r="S18" s="29"/>
      <c r="T18" s="29"/>
      <c r="U18" s="29"/>
      <c r="V18" s="29"/>
      <c r="W18" s="29"/>
      <c r="X18" s="29"/>
      <c r="Y18" s="30"/>
    </row>
    <row r="19" spans="1:25" ht="15" thickBot="1" x14ac:dyDescent="0.35">
      <c r="A19" s="28"/>
      <c r="B19" s="29"/>
      <c r="C19" s="29"/>
      <c r="D19" s="29"/>
      <c r="E19" s="29"/>
      <c r="F19" s="29"/>
      <c r="G19" s="29"/>
      <c r="H19" s="29"/>
      <c r="I19" s="29"/>
      <c r="J19" s="29"/>
      <c r="K19" s="29"/>
      <c r="L19" s="29"/>
      <c r="M19" s="29"/>
      <c r="N19" s="29"/>
      <c r="O19" s="29"/>
      <c r="P19" s="29"/>
      <c r="Q19" s="29"/>
      <c r="R19" s="29"/>
      <c r="S19" s="29"/>
      <c r="T19" s="29"/>
      <c r="U19" s="29"/>
      <c r="V19" s="29"/>
      <c r="W19" s="29"/>
      <c r="X19" s="29"/>
      <c r="Y19" s="30"/>
    </row>
    <row r="20" spans="1:25" ht="15" thickBot="1" x14ac:dyDescent="0.35">
      <c r="A20" s="28"/>
      <c r="B20" s="29"/>
      <c r="C20" s="29"/>
      <c r="D20" s="29"/>
      <c r="E20" s="29"/>
      <c r="F20" s="29"/>
      <c r="G20" s="29"/>
      <c r="H20" s="29"/>
      <c r="I20" s="29"/>
      <c r="J20" s="29"/>
      <c r="K20" s="29"/>
      <c r="L20" s="29"/>
      <c r="M20" s="29"/>
      <c r="N20" s="29"/>
      <c r="O20" s="29"/>
      <c r="P20" s="29"/>
      <c r="Q20" s="29"/>
      <c r="R20" s="29"/>
      <c r="S20" s="29"/>
      <c r="T20" s="29"/>
      <c r="U20" s="29"/>
      <c r="V20" s="29"/>
      <c r="W20" s="29"/>
      <c r="X20" s="29"/>
      <c r="Y20" s="30"/>
    </row>
    <row r="21" spans="1:25" ht="15" thickBot="1" x14ac:dyDescent="0.35">
      <c r="A21" s="28"/>
      <c r="B21" s="29"/>
      <c r="C21" s="29"/>
      <c r="D21" s="29"/>
      <c r="E21" s="29"/>
      <c r="F21" s="29"/>
      <c r="G21" s="29"/>
      <c r="H21" s="29"/>
      <c r="I21" s="29"/>
      <c r="J21" s="29"/>
      <c r="K21" s="29"/>
      <c r="L21" s="29"/>
      <c r="M21" s="29"/>
      <c r="N21" s="29"/>
      <c r="O21" s="29"/>
      <c r="P21" s="29"/>
      <c r="Q21" s="29"/>
      <c r="R21" s="29"/>
      <c r="S21" s="29"/>
      <c r="T21" s="29"/>
      <c r="U21" s="29"/>
      <c r="V21" s="29"/>
      <c r="W21" s="29"/>
      <c r="X21" s="29"/>
      <c r="Y21" s="30"/>
    </row>
    <row r="22" spans="1:25" ht="15" thickBot="1" x14ac:dyDescent="0.35">
      <c r="A22" s="28"/>
      <c r="B22" s="29"/>
      <c r="C22" s="29"/>
      <c r="D22" s="29"/>
      <c r="E22" s="29"/>
      <c r="F22" s="29"/>
      <c r="G22" s="29"/>
      <c r="H22" s="29"/>
      <c r="I22" s="29"/>
      <c r="J22" s="29"/>
      <c r="K22" s="29"/>
      <c r="L22" s="29"/>
      <c r="M22" s="29"/>
      <c r="N22" s="29"/>
      <c r="O22" s="29"/>
      <c r="P22" s="29"/>
      <c r="Q22" s="29"/>
      <c r="R22" s="29"/>
      <c r="S22" s="29"/>
      <c r="T22" s="29"/>
      <c r="U22" s="29"/>
      <c r="V22" s="29"/>
      <c r="W22" s="29"/>
      <c r="X22" s="29"/>
      <c r="Y22" s="30"/>
    </row>
    <row r="23" spans="1:25" ht="15" thickBot="1" x14ac:dyDescent="0.35">
      <c r="A23" s="28"/>
      <c r="B23" s="29"/>
      <c r="C23" s="29"/>
      <c r="D23" s="29"/>
      <c r="E23" s="29"/>
      <c r="F23" s="29"/>
      <c r="G23" s="29"/>
      <c r="H23" s="29"/>
      <c r="I23" s="29"/>
      <c r="J23" s="29"/>
      <c r="K23" s="29"/>
      <c r="L23" s="29"/>
      <c r="M23" s="29"/>
      <c r="N23" s="29"/>
      <c r="O23" s="29"/>
      <c r="P23" s="29"/>
      <c r="Q23" s="29"/>
      <c r="R23" s="29"/>
      <c r="S23" s="29"/>
      <c r="T23" s="29"/>
      <c r="U23" s="29"/>
      <c r="V23" s="29"/>
      <c r="W23" s="29"/>
      <c r="X23" s="29"/>
      <c r="Y23" s="30"/>
    </row>
    <row r="24" spans="1:25" ht="15" thickBot="1" x14ac:dyDescent="0.35">
      <c r="A24" s="28"/>
      <c r="B24" s="29"/>
      <c r="C24" s="29"/>
      <c r="D24" s="29"/>
      <c r="E24" s="29"/>
      <c r="F24" s="29"/>
      <c r="G24" s="29"/>
      <c r="H24" s="29"/>
      <c r="I24" s="29"/>
      <c r="J24" s="29"/>
      <c r="K24" s="29"/>
      <c r="L24" s="29"/>
      <c r="M24" s="29"/>
      <c r="N24" s="29"/>
      <c r="O24" s="29"/>
      <c r="P24" s="29"/>
      <c r="Q24" s="29"/>
      <c r="R24" s="29"/>
      <c r="S24" s="29"/>
      <c r="T24" s="29"/>
      <c r="U24" s="29"/>
      <c r="V24" s="29"/>
      <c r="W24" s="29"/>
      <c r="X24" s="29"/>
      <c r="Y24" s="30"/>
    </row>
    <row r="25" spans="1:25" ht="15" thickBot="1" x14ac:dyDescent="0.35">
      <c r="A25" s="28"/>
      <c r="B25" s="29"/>
      <c r="C25" s="29"/>
      <c r="D25" s="29"/>
      <c r="E25" s="29"/>
      <c r="F25" s="29"/>
      <c r="G25" s="29"/>
      <c r="H25" s="29"/>
      <c r="I25" s="29"/>
      <c r="J25" s="29"/>
      <c r="K25" s="29"/>
      <c r="L25" s="29"/>
      <c r="M25" s="29"/>
      <c r="N25" s="29"/>
      <c r="O25" s="29"/>
      <c r="P25" s="29"/>
      <c r="Q25" s="29"/>
      <c r="R25" s="29"/>
      <c r="S25" s="29"/>
      <c r="T25" s="29"/>
      <c r="U25" s="29"/>
      <c r="V25" s="29"/>
      <c r="W25" s="29"/>
      <c r="X25" s="29"/>
      <c r="Y25" s="30"/>
    </row>
    <row r="26" spans="1:25" ht="15" thickBot="1" x14ac:dyDescent="0.35">
      <c r="A26" s="28"/>
      <c r="B26" s="29"/>
      <c r="C26" s="29"/>
      <c r="D26" s="29"/>
      <c r="E26" s="29"/>
      <c r="F26" s="29"/>
      <c r="G26" s="29"/>
      <c r="H26" s="29"/>
      <c r="I26" s="29"/>
      <c r="J26" s="29"/>
      <c r="K26" s="29"/>
      <c r="L26" s="29"/>
      <c r="M26" s="29"/>
      <c r="N26" s="29"/>
      <c r="O26" s="29"/>
      <c r="P26" s="29"/>
      <c r="Q26" s="29"/>
      <c r="R26" s="29"/>
      <c r="S26" s="29"/>
      <c r="T26" s="29"/>
      <c r="U26" s="29"/>
      <c r="V26" s="29"/>
      <c r="W26" s="29"/>
      <c r="X26" s="29"/>
      <c r="Y26" s="30"/>
    </row>
    <row r="27" spans="1:25" ht="15" thickBot="1" x14ac:dyDescent="0.35">
      <c r="A27" s="28"/>
      <c r="B27" s="29"/>
      <c r="C27" s="29"/>
      <c r="D27" s="29"/>
      <c r="E27" s="29"/>
      <c r="F27" s="29"/>
      <c r="G27" s="29"/>
      <c r="H27" s="29"/>
      <c r="I27" s="29"/>
      <c r="J27" s="29"/>
      <c r="K27" s="29"/>
      <c r="L27" s="29"/>
      <c r="M27" s="29"/>
      <c r="N27" s="29"/>
      <c r="O27" s="29"/>
      <c r="P27" s="29"/>
      <c r="Q27" s="29"/>
      <c r="R27" s="29"/>
      <c r="S27" s="29"/>
      <c r="T27" s="29"/>
      <c r="U27" s="29"/>
      <c r="V27" s="29"/>
      <c r="W27" s="29"/>
      <c r="X27" s="29"/>
      <c r="Y27" s="30"/>
    </row>
    <row r="28" spans="1:25" ht="15" thickBot="1" x14ac:dyDescent="0.35">
      <c r="A28" s="28"/>
      <c r="B28" s="29"/>
      <c r="C28" s="29"/>
      <c r="D28" s="29"/>
      <c r="E28" s="29"/>
      <c r="F28" s="29"/>
      <c r="G28" s="29"/>
      <c r="H28" s="29"/>
      <c r="I28" s="29"/>
      <c r="J28" s="29"/>
      <c r="K28" s="29"/>
      <c r="L28" s="29"/>
      <c r="M28" s="29"/>
      <c r="N28" s="29"/>
      <c r="O28" s="29"/>
      <c r="P28" s="29"/>
      <c r="Q28" s="29"/>
      <c r="R28" s="29"/>
      <c r="S28" s="29"/>
      <c r="T28" s="29"/>
      <c r="U28" s="29"/>
      <c r="V28" s="29"/>
      <c r="W28" s="29"/>
      <c r="X28" s="29"/>
      <c r="Y28" s="30"/>
    </row>
    <row r="29" spans="1:25" ht="15" thickBot="1" x14ac:dyDescent="0.35">
      <c r="A29" s="28"/>
      <c r="B29" s="29"/>
      <c r="C29" s="29"/>
      <c r="D29" s="29"/>
      <c r="E29" s="29"/>
      <c r="F29" s="29"/>
      <c r="G29" s="29"/>
      <c r="H29" s="29"/>
      <c r="I29" s="29"/>
      <c r="J29" s="29"/>
      <c r="K29" s="29"/>
      <c r="L29" s="29"/>
      <c r="M29" s="29"/>
      <c r="N29" s="29"/>
      <c r="O29" s="29"/>
      <c r="P29" s="29"/>
      <c r="Q29" s="29"/>
      <c r="R29" s="29"/>
      <c r="S29" s="29"/>
      <c r="T29" s="29"/>
      <c r="U29" s="29"/>
      <c r="V29" s="29"/>
      <c r="W29" s="29"/>
      <c r="X29" s="29"/>
      <c r="Y29" s="30"/>
    </row>
    <row r="30" spans="1:25" ht="15" thickBot="1" x14ac:dyDescent="0.35">
      <c r="A30" s="28"/>
      <c r="B30" s="29"/>
      <c r="C30" s="29"/>
      <c r="D30" s="29"/>
      <c r="E30" s="29"/>
      <c r="F30" s="29"/>
      <c r="G30" s="29"/>
      <c r="H30" s="29"/>
      <c r="I30" s="29"/>
      <c r="J30" s="29"/>
      <c r="K30" s="29"/>
      <c r="L30" s="29"/>
      <c r="M30" s="29"/>
      <c r="N30" s="29"/>
      <c r="O30" s="29"/>
      <c r="P30" s="29"/>
      <c r="Q30" s="29"/>
      <c r="R30" s="29"/>
      <c r="S30" s="29"/>
      <c r="T30" s="29"/>
      <c r="U30" s="29"/>
      <c r="V30" s="29"/>
      <c r="W30" s="29"/>
      <c r="X30" s="29"/>
      <c r="Y30" s="30"/>
    </row>
    <row r="31" spans="1:25" ht="15" thickBot="1" x14ac:dyDescent="0.35">
      <c r="A31" s="28"/>
      <c r="B31" s="29"/>
      <c r="C31" s="29"/>
      <c r="D31" s="29"/>
      <c r="E31" s="29"/>
      <c r="F31" s="29"/>
      <c r="G31" s="29"/>
      <c r="H31" s="29"/>
      <c r="I31" s="29"/>
      <c r="J31" s="29"/>
      <c r="K31" s="29"/>
      <c r="L31" s="29"/>
      <c r="M31" s="29"/>
      <c r="N31" s="29"/>
      <c r="O31" s="29"/>
      <c r="P31" s="29"/>
      <c r="Q31" s="29"/>
      <c r="R31" s="29"/>
      <c r="S31" s="29"/>
      <c r="T31" s="29"/>
      <c r="U31" s="29"/>
      <c r="V31" s="29"/>
      <c r="W31" s="29"/>
      <c r="X31" s="29"/>
      <c r="Y31" s="30"/>
    </row>
    <row r="32" spans="1:25" ht="15" thickBot="1" x14ac:dyDescent="0.35">
      <c r="A32" s="28"/>
      <c r="B32" s="29"/>
      <c r="C32" s="29"/>
      <c r="D32" s="29"/>
      <c r="E32" s="29"/>
      <c r="F32" s="29"/>
      <c r="G32" s="29"/>
      <c r="H32" s="29"/>
      <c r="I32" s="29"/>
      <c r="J32" s="29"/>
      <c r="K32" s="29"/>
      <c r="L32" s="29"/>
      <c r="M32" s="29"/>
      <c r="N32" s="29"/>
      <c r="O32" s="29"/>
      <c r="P32" s="29"/>
      <c r="Q32" s="29"/>
      <c r="R32" s="29"/>
      <c r="S32" s="29"/>
      <c r="T32" s="29"/>
      <c r="U32" s="29"/>
      <c r="V32" s="29"/>
      <c r="W32" s="29"/>
      <c r="X32" s="29"/>
      <c r="Y32" s="30"/>
    </row>
    <row r="33" spans="1:25" ht="15" thickBot="1" x14ac:dyDescent="0.35">
      <c r="A33" s="28"/>
      <c r="B33" s="29"/>
      <c r="C33" s="29"/>
      <c r="D33" s="29"/>
      <c r="E33" s="29"/>
      <c r="F33" s="29"/>
      <c r="G33" s="29"/>
      <c r="H33" s="29"/>
      <c r="I33" s="29"/>
      <c r="J33" s="29"/>
      <c r="K33" s="29"/>
      <c r="L33" s="29"/>
      <c r="M33" s="29"/>
      <c r="N33" s="29"/>
      <c r="O33" s="29"/>
      <c r="P33" s="29"/>
      <c r="Q33" s="29"/>
      <c r="R33" s="29"/>
      <c r="S33" s="29"/>
      <c r="T33" s="29"/>
      <c r="U33" s="29"/>
      <c r="V33" s="29"/>
      <c r="W33" s="29"/>
      <c r="X33" s="29"/>
      <c r="Y33" s="30"/>
    </row>
    <row r="34" spans="1:25" ht="15" thickBot="1" x14ac:dyDescent="0.35">
      <c r="A34" s="28"/>
      <c r="B34" s="29"/>
      <c r="C34" s="29"/>
      <c r="D34" s="29"/>
      <c r="E34" s="29"/>
      <c r="F34" s="29"/>
      <c r="G34" s="29"/>
      <c r="H34" s="29"/>
      <c r="I34" s="29"/>
      <c r="J34" s="29"/>
      <c r="K34" s="29"/>
      <c r="L34" s="29"/>
      <c r="M34" s="29"/>
      <c r="N34" s="29"/>
      <c r="O34" s="29"/>
      <c r="P34" s="29"/>
      <c r="Q34" s="29"/>
      <c r="R34" s="29"/>
      <c r="S34" s="29"/>
      <c r="T34" s="29"/>
      <c r="U34" s="29"/>
      <c r="V34" s="29"/>
      <c r="W34" s="29"/>
      <c r="X34" s="29"/>
      <c r="Y34" s="30"/>
    </row>
    <row r="35" spans="1:25" ht="15" thickBot="1" x14ac:dyDescent="0.35">
      <c r="A35" s="28"/>
      <c r="B35" s="29"/>
      <c r="C35" s="29"/>
      <c r="D35" s="29"/>
      <c r="E35" s="29"/>
      <c r="F35" s="29"/>
      <c r="G35" s="29"/>
      <c r="H35" s="29"/>
      <c r="I35" s="29"/>
      <c r="J35" s="29"/>
      <c r="K35" s="29"/>
      <c r="L35" s="29"/>
      <c r="M35" s="29"/>
      <c r="N35" s="29"/>
      <c r="O35" s="29"/>
      <c r="P35" s="29"/>
      <c r="Q35" s="29"/>
      <c r="R35" s="29"/>
      <c r="S35" s="29"/>
      <c r="T35" s="29"/>
      <c r="U35" s="29"/>
      <c r="V35" s="29"/>
      <c r="W35" s="29"/>
      <c r="X35" s="29"/>
      <c r="Y35" s="30"/>
    </row>
    <row r="36" spans="1:25" ht="15" thickBot="1" x14ac:dyDescent="0.35">
      <c r="A36" s="28"/>
      <c r="B36" s="29"/>
      <c r="C36" s="29"/>
      <c r="D36" s="29"/>
      <c r="E36" s="29"/>
      <c r="F36" s="29"/>
      <c r="G36" s="29"/>
      <c r="H36" s="29"/>
      <c r="I36" s="29"/>
      <c r="J36" s="29"/>
      <c r="K36" s="29"/>
      <c r="L36" s="29"/>
      <c r="M36" s="29"/>
      <c r="N36" s="29"/>
      <c r="O36" s="29"/>
      <c r="P36" s="29"/>
      <c r="Q36" s="29"/>
      <c r="R36" s="29"/>
      <c r="S36" s="29"/>
      <c r="T36" s="29"/>
      <c r="U36" s="29"/>
      <c r="V36" s="29"/>
      <c r="W36" s="29"/>
      <c r="X36" s="29"/>
      <c r="Y36" s="30"/>
    </row>
    <row r="37" spans="1:25" ht="15" thickBot="1" x14ac:dyDescent="0.35">
      <c r="A37" s="28"/>
      <c r="B37" s="29"/>
      <c r="C37" s="29"/>
      <c r="D37" s="29"/>
      <c r="E37" s="29"/>
      <c r="F37" s="29"/>
      <c r="G37" s="29"/>
      <c r="H37" s="29"/>
      <c r="I37" s="29"/>
      <c r="J37" s="29"/>
      <c r="K37" s="29"/>
      <c r="L37" s="29"/>
      <c r="M37" s="29"/>
      <c r="N37" s="29"/>
      <c r="O37" s="29"/>
      <c r="P37" s="29"/>
      <c r="Q37" s="29"/>
      <c r="R37" s="29"/>
      <c r="S37" s="29"/>
      <c r="T37" s="29"/>
      <c r="U37" s="29"/>
      <c r="V37" s="29"/>
      <c r="W37" s="29"/>
      <c r="X37" s="29"/>
      <c r="Y37" s="30"/>
    </row>
    <row r="38" spans="1:25" ht="15" thickBot="1" x14ac:dyDescent="0.35">
      <c r="A38" s="28"/>
      <c r="B38" s="29"/>
      <c r="C38" s="29"/>
      <c r="D38" s="29"/>
      <c r="E38" s="29"/>
      <c r="F38" s="29"/>
      <c r="G38" s="29"/>
      <c r="H38" s="29"/>
      <c r="I38" s="29"/>
      <c r="J38" s="29"/>
      <c r="K38" s="29"/>
      <c r="L38" s="29"/>
      <c r="M38" s="29"/>
      <c r="N38" s="29"/>
      <c r="O38" s="29"/>
      <c r="P38" s="29"/>
      <c r="Q38" s="29"/>
      <c r="R38" s="29"/>
      <c r="S38" s="29"/>
      <c r="T38" s="29"/>
      <c r="U38" s="29"/>
      <c r="V38" s="29"/>
      <c r="W38" s="29"/>
      <c r="X38" s="29"/>
      <c r="Y38" s="30"/>
    </row>
    <row r="39" spans="1:25" ht="15" thickBot="1" x14ac:dyDescent="0.35">
      <c r="A39" s="28"/>
      <c r="B39" s="29"/>
      <c r="C39" s="29"/>
      <c r="D39" s="29"/>
      <c r="E39" s="29"/>
      <c r="F39" s="29"/>
      <c r="G39" s="29"/>
      <c r="H39" s="29"/>
      <c r="I39" s="29"/>
      <c r="J39" s="29"/>
      <c r="K39" s="29"/>
      <c r="L39" s="29"/>
      <c r="M39" s="29"/>
      <c r="N39" s="29"/>
      <c r="O39" s="29"/>
      <c r="P39" s="29"/>
      <c r="Q39" s="29"/>
      <c r="R39" s="29"/>
      <c r="S39" s="29"/>
      <c r="T39" s="29"/>
      <c r="U39" s="29"/>
      <c r="V39" s="29"/>
      <c r="W39" s="29"/>
      <c r="X39" s="29"/>
      <c r="Y39" s="30"/>
    </row>
    <row r="40" spans="1:25" ht="15" thickBot="1" x14ac:dyDescent="0.35">
      <c r="A40" s="28"/>
      <c r="B40" s="29"/>
      <c r="C40" s="29"/>
      <c r="D40" s="29"/>
      <c r="E40" s="29"/>
      <c r="F40" s="29"/>
      <c r="G40" s="29"/>
      <c r="H40" s="29"/>
      <c r="I40" s="29"/>
      <c r="J40" s="29"/>
      <c r="K40" s="29"/>
      <c r="L40" s="29"/>
      <c r="M40" s="29"/>
      <c r="N40" s="29"/>
      <c r="O40" s="29"/>
      <c r="P40" s="29"/>
      <c r="Q40" s="29"/>
      <c r="R40" s="29"/>
      <c r="S40" s="29"/>
      <c r="T40" s="29"/>
      <c r="U40" s="29"/>
      <c r="V40" s="29"/>
      <c r="W40" s="29"/>
      <c r="X40" s="29"/>
      <c r="Y40" s="30"/>
    </row>
    <row r="41" spans="1:25" ht="15" thickBot="1" x14ac:dyDescent="0.35">
      <c r="A41" s="28"/>
      <c r="B41" s="29"/>
      <c r="C41" s="29"/>
      <c r="D41" s="29"/>
      <c r="E41" s="29"/>
      <c r="F41" s="29"/>
      <c r="G41" s="29"/>
      <c r="H41" s="29"/>
      <c r="I41" s="29"/>
      <c r="J41" s="29"/>
      <c r="K41" s="29"/>
      <c r="L41" s="29"/>
      <c r="M41" s="29"/>
      <c r="N41" s="29"/>
      <c r="O41" s="29"/>
      <c r="P41" s="29"/>
      <c r="Q41" s="29"/>
      <c r="R41" s="29"/>
      <c r="S41" s="29"/>
      <c r="T41" s="29"/>
      <c r="U41" s="29"/>
      <c r="V41" s="29"/>
      <c r="W41" s="29"/>
      <c r="X41" s="29"/>
      <c r="Y41" s="30"/>
    </row>
    <row r="42" spans="1:25" ht="15" thickBot="1" x14ac:dyDescent="0.35">
      <c r="A42" s="28"/>
      <c r="B42" s="29"/>
      <c r="C42" s="29"/>
      <c r="D42" s="29"/>
      <c r="E42" s="29"/>
      <c r="F42" s="29"/>
      <c r="G42" s="29"/>
      <c r="H42" s="29"/>
      <c r="I42" s="29"/>
      <c r="J42" s="29"/>
      <c r="K42" s="29"/>
      <c r="L42" s="29"/>
      <c r="M42" s="29"/>
      <c r="N42" s="29"/>
      <c r="O42" s="29"/>
      <c r="P42" s="29"/>
      <c r="Q42" s="29"/>
      <c r="R42" s="29"/>
      <c r="S42" s="29"/>
      <c r="T42" s="29"/>
      <c r="U42" s="29"/>
      <c r="V42" s="29"/>
      <c r="W42" s="29"/>
      <c r="X42" s="29"/>
      <c r="Y42" s="30"/>
    </row>
    <row r="43" spans="1:25" ht="15" thickBot="1" x14ac:dyDescent="0.35">
      <c r="A43" s="28"/>
      <c r="B43" s="29"/>
      <c r="C43" s="29"/>
      <c r="D43" s="29"/>
      <c r="E43" s="29"/>
      <c r="F43" s="29"/>
      <c r="G43" s="29"/>
      <c r="H43" s="29"/>
      <c r="I43" s="29"/>
      <c r="J43" s="29"/>
      <c r="K43" s="29"/>
      <c r="L43" s="29"/>
      <c r="M43" s="29"/>
      <c r="N43" s="29"/>
      <c r="O43" s="29"/>
      <c r="P43" s="29"/>
      <c r="Q43" s="29"/>
      <c r="R43" s="29"/>
      <c r="S43" s="29"/>
      <c r="T43" s="29"/>
      <c r="U43" s="29"/>
      <c r="V43" s="29"/>
      <c r="W43" s="29"/>
      <c r="X43" s="29"/>
      <c r="Y43" s="30"/>
    </row>
    <row r="44" spans="1:25" ht="15" thickBot="1" x14ac:dyDescent="0.35">
      <c r="A44" s="28"/>
      <c r="B44" s="29"/>
      <c r="C44" s="29"/>
      <c r="D44" s="29"/>
      <c r="E44" s="29"/>
      <c r="F44" s="29"/>
      <c r="G44" s="29"/>
      <c r="H44" s="29"/>
      <c r="I44" s="29"/>
      <c r="J44" s="29"/>
      <c r="K44" s="29"/>
      <c r="L44" s="29"/>
      <c r="M44" s="29"/>
      <c r="N44" s="29"/>
      <c r="O44" s="29"/>
      <c r="P44" s="29"/>
      <c r="Q44" s="29"/>
      <c r="R44" s="29"/>
      <c r="S44" s="29"/>
      <c r="T44" s="29"/>
      <c r="U44" s="29"/>
      <c r="V44" s="29"/>
      <c r="W44" s="29"/>
      <c r="X44" s="29"/>
      <c r="Y44" s="30"/>
    </row>
    <row r="45" spans="1:25" ht="15" thickBot="1" x14ac:dyDescent="0.35">
      <c r="A45" s="28"/>
      <c r="B45" s="29"/>
      <c r="C45" s="29"/>
      <c r="D45" s="29"/>
      <c r="E45" s="29"/>
      <c r="F45" s="29"/>
      <c r="G45" s="29"/>
      <c r="H45" s="29"/>
      <c r="I45" s="29"/>
      <c r="J45" s="29"/>
      <c r="K45" s="29"/>
      <c r="L45" s="29"/>
      <c r="M45" s="29"/>
      <c r="N45" s="29"/>
      <c r="O45" s="29"/>
      <c r="P45" s="29"/>
      <c r="Q45" s="29"/>
      <c r="R45" s="29"/>
      <c r="S45" s="29"/>
      <c r="T45" s="29"/>
      <c r="U45" s="29"/>
      <c r="V45" s="29"/>
      <c r="W45" s="29"/>
      <c r="X45" s="29"/>
      <c r="Y45" s="30"/>
    </row>
    <row r="46" spans="1:25" ht="15" thickBot="1" x14ac:dyDescent="0.35">
      <c r="A46" s="28"/>
      <c r="B46" s="29"/>
      <c r="C46" s="29"/>
      <c r="D46" s="29"/>
      <c r="E46" s="29"/>
      <c r="F46" s="29"/>
      <c r="G46" s="29"/>
      <c r="H46" s="29"/>
      <c r="I46" s="29"/>
      <c r="J46" s="29"/>
      <c r="K46" s="29"/>
      <c r="L46" s="29"/>
      <c r="M46" s="29"/>
      <c r="N46" s="29"/>
      <c r="O46" s="29"/>
      <c r="P46" s="29"/>
      <c r="Q46" s="29"/>
      <c r="R46" s="29"/>
      <c r="S46" s="29"/>
      <c r="T46" s="29"/>
      <c r="U46" s="29"/>
      <c r="V46" s="29"/>
      <c r="W46" s="29"/>
      <c r="X46" s="29"/>
      <c r="Y46" s="30"/>
    </row>
    <row r="47" spans="1:25" ht="15" thickBot="1" x14ac:dyDescent="0.35">
      <c r="A47" s="28"/>
      <c r="B47" s="29"/>
      <c r="C47" s="29"/>
      <c r="D47" s="29"/>
      <c r="E47" s="29"/>
      <c r="F47" s="29"/>
      <c r="G47" s="29"/>
      <c r="H47" s="29"/>
      <c r="I47" s="29"/>
      <c r="J47" s="29"/>
      <c r="K47" s="29"/>
      <c r="L47" s="29"/>
      <c r="M47" s="29"/>
      <c r="N47" s="29"/>
      <c r="O47" s="29"/>
      <c r="P47" s="29"/>
      <c r="Q47" s="29"/>
      <c r="R47" s="29"/>
      <c r="S47" s="29"/>
      <c r="T47" s="29"/>
      <c r="U47" s="29"/>
      <c r="V47" s="29"/>
      <c r="W47" s="29"/>
      <c r="X47" s="29"/>
      <c r="Y47" s="30"/>
    </row>
    <row r="48" spans="1:25" ht="15" thickBot="1" x14ac:dyDescent="0.35">
      <c r="A48" s="28"/>
      <c r="B48" s="29"/>
      <c r="C48" s="29"/>
      <c r="D48" s="29"/>
      <c r="E48" s="29"/>
      <c r="F48" s="29"/>
      <c r="G48" s="29"/>
      <c r="H48" s="29"/>
      <c r="I48" s="29"/>
      <c r="J48" s="29"/>
      <c r="K48" s="29"/>
      <c r="L48" s="29"/>
      <c r="M48" s="29"/>
      <c r="N48" s="29"/>
      <c r="O48" s="29"/>
      <c r="P48" s="29"/>
      <c r="Q48" s="29"/>
      <c r="R48" s="29"/>
      <c r="S48" s="29"/>
      <c r="T48" s="29"/>
      <c r="U48" s="29"/>
      <c r="V48" s="29"/>
      <c r="W48" s="29"/>
      <c r="X48" s="29"/>
      <c r="Y48" s="30"/>
    </row>
    <row r="49" spans="1:25" ht="15" thickBot="1" x14ac:dyDescent="0.35">
      <c r="A49" s="28"/>
      <c r="B49" s="29"/>
      <c r="C49" s="29"/>
      <c r="D49" s="29"/>
      <c r="E49" s="29"/>
      <c r="F49" s="29"/>
      <c r="G49" s="29"/>
      <c r="H49" s="29"/>
      <c r="I49" s="29"/>
      <c r="J49" s="29"/>
      <c r="K49" s="29"/>
      <c r="L49" s="29"/>
      <c r="M49" s="29"/>
      <c r="N49" s="29"/>
      <c r="O49" s="29"/>
      <c r="P49" s="29"/>
      <c r="Q49" s="29"/>
      <c r="R49" s="29"/>
      <c r="S49" s="29"/>
      <c r="T49" s="29"/>
      <c r="U49" s="29"/>
      <c r="V49" s="29"/>
      <c r="W49" s="29"/>
      <c r="X49" s="29"/>
      <c r="Y49" s="30"/>
    </row>
    <row r="50" spans="1:25" ht="15" thickBot="1" x14ac:dyDescent="0.35">
      <c r="A50" s="28"/>
      <c r="B50" s="29"/>
      <c r="C50" s="29"/>
      <c r="D50" s="29"/>
      <c r="E50" s="29"/>
      <c r="F50" s="29"/>
      <c r="G50" s="29"/>
      <c r="H50" s="29"/>
      <c r="I50" s="29"/>
      <c r="J50" s="29"/>
      <c r="K50" s="29"/>
      <c r="L50" s="29"/>
      <c r="M50" s="29"/>
      <c r="N50" s="29"/>
      <c r="O50" s="29"/>
      <c r="P50" s="29"/>
      <c r="Q50" s="29"/>
      <c r="R50" s="29"/>
      <c r="S50" s="29"/>
      <c r="T50" s="29"/>
      <c r="U50" s="29"/>
      <c r="V50" s="29"/>
      <c r="W50" s="29"/>
      <c r="X50" s="29"/>
      <c r="Y50" s="30"/>
    </row>
    <row r="51" spans="1:25" ht="15" thickBot="1" x14ac:dyDescent="0.35">
      <c r="A51" s="28"/>
      <c r="B51" s="29"/>
      <c r="C51" s="29"/>
      <c r="D51" s="29"/>
      <c r="E51" s="29"/>
      <c r="F51" s="29"/>
      <c r="G51" s="29"/>
      <c r="H51" s="29"/>
      <c r="I51" s="29"/>
      <c r="J51" s="29"/>
      <c r="K51" s="29"/>
      <c r="L51" s="29"/>
      <c r="M51" s="29"/>
      <c r="N51" s="29"/>
      <c r="O51" s="29"/>
      <c r="P51" s="29"/>
      <c r="Q51" s="29"/>
      <c r="R51" s="29"/>
      <c r="S51" s="29"/>
      <c r="T51" s="29"/>
      <c r="U51" s="29"/>
      <c r="V51" s="29"/>
      <c r="W51" s="29"/>
      <c r="X51" s="29"/>
      <c r="Y51" s="30"/>
    </row>
    <row r="52" spans="1:25" ht="15" thickBot="1" x14ac:dyDescent="0.35">
      <c r="A52" s="28"/>
      <c r="B52" s="29"/>
      <c r="C52" s="29"/>
      <c r="D52" s="29"/>
      <c r="E52" s="29"/>
      <c r="F52" s="29"/>
      <c r="G52" s="29"/>
      <c r="H52" s="29"/>
      <c r="I52" s="29"/>
      <c r="J52" s="29"/>
      <c r="K52" s="29"/>
      <c r="L52" s="29"/>
      <c r="M52" s="29"/>
      <c r="N52" s="29"/>
      <c r="O52" s="29"/>
      <c r="P52" s="29"/>
      <c r="Q52" s="29"/>
      <c r="R52" s="29"/>
      <c r="S52" s="29"/>
      <c r="T52" s="29"/>
      <c r="U52" s="29"/>
      <c r="V52" s="29"/>
      <c r="W52" s="29"/>
      <c r="X52" s="29"/>
      <c r="Y52" s="30"/>
    </row>
    <row r="53" spans="1:25" ht="15" thickBot="1" x14ac:dyDescent="0.35">
      <c r="A53" s="28"/>
      <c r="B53" s="29"/>
      <c r="C53" s="29"/>
      <c r="D53" s="29"/>
      <c r="E53" s="29"/>
      <c r="F53" s="29"/>
      <c r="G53" s="29"/>
      <c r="H53" s="29"/>
      <c r="I53" s="29"/>
      <c r="J53" s="29"/>
      <c r="K53" s="29"/>
      <c r="L53" s="29"/>
      <c r="M53" s="29"/>
      <c r="N53" s="29"/>
      <c r="O53" s="29"/>
      <c r="P53" s="29"/>
      <c r="Q53" s="29"/>
      <c r="R53" s="29"/>
      <c r="S53" s="29"/>
      <c r="T53" s="29"/>
      <c r="U53" s="29"/>
      <c r="V53" s="29"/>
      <c r="W53" s="29"/>
      <c r="X53" s="29"/>
      <c r="Y53" s="30"/>
    </row>
    <row r="54" spans="1:25" ht="15" thickBot="1" x14ac:dyDescent="0.35">
      <c r="A54" s="28"/>
      <c r="B54" s="29"/>
      <c r="C54" s="29"/>
      <c r="D54" s="29"/>
      <c r="E54" s="29"/>
      <c r="F54" s="29"/>
      <c r="G54" s="29"/>
      <c r="H54" s="29"/>
      <c r="I54" s="29"/>
      <c r="J54" s="29"/>
      <c r="K54" s="29"/>
      <c r="L54" s="29"/>
      <c r="M54" s="29"/>
      <c r="N54" s="29"/>
      <c r="O54" s="29"/>
      <c r="P54" s="29"/>
      <c r="Q54" s="29"/>
      <c r="R54" s="29"/>
      <c r="S54" s="29"/>
      <c r="T54" s="29"/>
      <c r="U54" s="29"/>
      <c r="V54" s="29"/>
      <c r="W54" s="29"/>
      <c r="X54" s="29"/>
      <c r="Y54" s="30"/>
    </row>
    <row r="55" spans="1:25" ht="15" thickBot="1" x14ac:dyDescent="0.35">
      <c r="A55" s="28"/>
      <c r="B55" s="29"/>
      <c r="C55" s="29"/>
      <c r="D55" s="29"/>
      <c r="E55" s="29"/>
      <c r="F55" s="29"/>
      <c r="G55" s="29"/>
      <c r="H55" s="29"/>
      <c r="I55" s="29"/>
      <c r="J55" s="29"/>
      <c r="K55" s="29"/>
      <c r="L55" s="29"/>
      <c r="M55" s="29"/>
      <c r="N55" s="29"/>
      <c r="O55" s="29"/>
      <c r="P55" s="29"/>
      <c r="Q55" s="29"/>
      <c r="R55" s="29"/>
      <c r="S55" s="29"/>
      <c r="T55" s="29"/>
      <c r="U55" s="29"/>
      <c r="V55" s="29"/>
      <c r="W55" s="29"/>
      <c r="X55" s="29"/>
      <c r="Y55" s="30"/>
    </row>
    <row r="56" spans="1:25" ht="15" thickBot="1" x14ac:dyDescent="0.35">
      <c r="A56" s="28"/>
      <c r="B56" s="29"/>
      <c r="C56" s="29"/>
      <c r="D56" s="29"/>
      <c r="E56" s="29"/>
      <c r="F56" s="29"/>
      <c r="G56" s="29"/>
      <c r="H56" s="29"/>
      <c r="I56" s="29"/>
      <c r="J56" s="29"/>
      <c r="K56" s="29"/>
      <c r="L56" s="29"/>
      <c r="M56" s="29"/>
      <c r="N56" s="29"/>
      <c r="O56" s="29"/>
      <c r="P56" s="29"/>
      <c r="Q56" s="29"/>
      <c r="R56" s="29"/>
      <c r="S56" s="29"/>
      <c r="T56" s="29"/>
      <c r="U56" s="29"/>
      <c r="V56" s="29"/>
      <c r="W56" s="29"/>
      <c r="X56" s="29"/>
      <c r="Y56" s="30"/>
    </row>
    <row r="57" spans="1:25" ht="15" thickBot="1" x14ac:dyDescent="0.35">
      <c r="A57" s="28"/>
      <c r="B57" s="29"/>
      <c r="C57" s="29"/>
      <c r="D57" s="29"/>
      <c r="E57" s="29"/>
      <c r="F57" s="29"/>
      <c r="G57" s="29"/>
      <c r="H57" s="29"/>
      <c r="I57" s="29"/>
      <c r="J57" s="29"/>
      <c r="K57" s="29"/>
      <c r="L57" s="29"/>
      <c r="M57" s="29"/>
      <c r="N57" s="29"/>
      <c r="O57" s="29"/>
      <c r="P57" s="29"/>
      <c r="Q57" s="29"/>
      <c r="R57" s="29"/>
      <c r="S57" s="29"/>
      <c r="T57" s="29"/>
      <c r="U57" s="29"/>
      <c r="V57" s="29"/>
      <c r="W57" s="29"/>
      <c r="X57" s="29"/>
      <c r="Y57" s="30"/>
    </row>
    <row r="58" spans="1:25" ht="15" thickBot="1" x14ac:dyDescent="0.35">
      <c r="A58" s="28"/>
      <c r="B58" s="29"/>
      <c r="C58" s="29"/>
      <c r="D58" s="29"/>
      <c r="E58" s="29"/>
      <c r="F58" s="29"/>
      <c r="G58" s="29"/>
      <c r="H58" s="29"/>
      <c r="I58" s="29"/>
      <c r="J58" s="29"/>
      <c r="K58" s="29"/>
      <c r="L58" s="29"/>
      <c r="M58" s="29"/>
      <c r="N58" s="29"/>
      <c r="O58" s="29"/>
      <c r="P58" s="29"/>
      <c r="Q58" s="29"/>
      <c r="R58" s="29"/>
      <c r="S58" s="29"/>
      <c r="T58" s="29"/>
      <c r="U58" s="29"/>
      <c r="V58" s="29"/>
      <c r="W58" s="29"/>
      <c r="X58" s="29"/>
      <c r="Y58" s="30"/>
    </row>
    <row r="59" spans="1:25" ht="15" thickBot="1" x14ac:dyDescent="0.35">
      <c r="A59" s="28"/>
      <c r="B59" s="29"/>
      <c r="C59" s="29"/>
      <c r="D59" s="29"/>
      <c r="E59" s="29"/>
      <c r="F59" s="29"/>
      <c r="G59" s="29"/>
      <c r="H59" s="29"/>
      <c r="I59" s="29"/>
      <c r="J59" s="29"/>
      <c r="K59" s="29"/>
      <c r="L59" s="29"/>
      <c r="M59" s="29"/>
      <c r="N59" s="29"/>
      <c r="O59" s="29"/>
      <c r="P59" s="29"/>
      <c r="Q59" s="29"/>
      <c r="R59" s="29"/>
      <c r="S59" s="29"/>
      <c r="T59" s="29"/>
      <c r="U59" s="29"/>
      <c r="V59" s="29"/>
      <c r="W59" s="29"/>
      <c r="X59" s="29"/>
      <c r="Y59" s="30"/>
    </row>
    <row r="60" spans="1:25" ht="15" thickBot="1" x14ac:dyDescent="0.35">
      <c r="A60" s="28"/>
      <c r="B60" s="29"/>
      <c r="C60" s="29"/>
      <c r="D60" s="29"/>
      <c r="E60" s="29"/>
      <c r="F60" s="29"/>
      <c r="G60" s="29"/>
      <c r="H60" s="29"/>
      <c r="I60" s="29"/>
      <c r="J60" s="29"/>
      <c r="K60" s="29"/>
      <c r="L60" s="29"/>
      <c r="M60" s="29"/>
      <c r="N60" s="29"/>
      <c r="O60" s="29"/>
      <c r="P60" s="29"/>
      <c r="Q60" s="29"/>
      <c r="R60" s="29"/>
      <c r="S60" s="29"/>
      <c r="T60" s="29"/>
      <c r="U60" s="29"/>
      <c r="V60" s="29"/>
      <c r="W60" s="29"/>
      <c r="X60" s="29"/>
      <c r="Y60" s="30"/>
    </row>
    <row r="61" spans="1:25" ht="15" thickBot="1" x14ac:dyDescent="0.35">
      <c r="A61" s="28"/>
      <c r="B61" s="29"/>
      <c r="C61" s="29"/>
      <c r="D61" s="29"/>
      <c r="E61" s="29"/>
      <c r="F61" s="29"/>
      <c r="G61" s="29"/>
      <c r="H61" s="29"/>
      <c r="I61" s="29"/>
      <c r="J61" s="29"/>
      <c r="K61" s="29"/>
      <c r="L61" s="29"/>
      <c r="M61" s="29"/>
      <c r="N61" s="29"/>
      <c r="O61" s="29"/>
      <c r="P61" s="29"/>
      <c r="Q61" s="29"/>
      <c r="R61" s="29"/>
      <c r="S61" s="29"/>
      <c r="T61" s="29"/>
      <c r="U61" s="29"/>
      <c r="V61" s="29"/>
      <c r="W61" s="29"/>
      <c r="X61" s="29"/>
      <c r="Y61" s="30"/>
    </row>
    <row r="62" spans="1:25" ht="15" thickBot="1" x14ac:dyDescent="0.35">
      <c r="A62" s="28"/>
      <c r="B62" s="29"/>
      <c r="C62" s="29"/>
      <c r="D62" s="29"/>
      <c r="E62" s="29"/>
      <c r="F62" s="29"/>
      <c r="G62" s="29"/>
      <c r="H62" s="29"/>
      <c r="I62" s="29"/>
      <c r="J62" s="29"/>
      <c r="K62" s="29"/>
      <c r="L62" s="29"/>
      <c r="M62" s="29"/>
      <c r="N62" s="29"/>
      <c r="O62" s="29"/>
      <c r="P62" s="29"/>
      <c r="Q62" s="29"/>
      <c r="R62" s="29"/>
      <c r="S62" s="29"/>
      <c r="T62" s="29"/>
      <c r="U62" s="29"/>
      <c r="V62" s="29"/>
      <c r="W62" s="29"/>
      <c r="X62" s="29"/>
      <c r="Y62" s="30"/>
    </row>
    <row r="63" spans="1:25" ht="15" thickBot="1" x14ac:dyDescent="0.35">
      <c r="A63" s="28"/>
      <c r="B63" s="29"/>
      <c r="C63" s="29"/>
      <c r="D63" s="29"/>
      <c r="E63" s="29"/>
      <c r="F63" s="29"/>
      <c r="G63" s="29"/>
      <c r="H63" s="29"/>
      <c r="I63" s="29"/>
      <c r="J63" s="29"/>
      <c r="K63" s="29"/>
      <c r="L63" s="29"/>
      <c r="M63" s="29"/>
      <c r="N63" s="29"/>
      <c r="O63" s="29"/>
      <c r="P63" s="29"/>
      <c r="Q63" s="29"/>
      <c r="R63" s="29"/>
      <c r="S63" s="29"/>
      <c r="T63" s="29"/>
      <c r="U63" s="29"/>
      <c r="V63" s="29"/>
      <c r="W63" s="29"/>
      <c r="X63" s="29"/>
      <c r="Y63" s="30"/>
    </row>
    <row r="64" spans="1:25" ht="15" thickBot="1" x14ac:dyDescent="0.35">
      <c r="A64" s="28"/>
      <c r="B64" s="29"/>
      <c r="C64" s="29"/>
      <c r="D64" s="29"/>
      <c r="E64" s="29"/>
      <c r="F64" s="29"/>
      <c r="G64" s="29"/>
      <c r="H64" s="29"/>
      <c r="I64" s="29"/>
      <c r="J64" s="29"/>
      <c r="K64" s="29"/>
      <c r="L64" s="29"/>
      <c r="M64" s="29"/>
      <c r="N64" s="29"/>
      <c r="O64" s="29"/>
      <c r="P64" s="29"/>
      <c r="Q64" s="29"/>
      <c r="R64" s="29"/>
      <c r="S64" s="29"/>
      <c r="T64" s="29"/>
      <c r="U64" s="29"/>
      <c r="V64" s="29"/>
      <c r="W64" s="29"/>
      <c r="X64" s="29"/>
      <c r="Y64" s="30"/>
    </row>
    <row r="65" spans="1:25" ht="15" thickBot="1" x14ac:dyDescent="0.35">
      <c r="A65" s="28"/>
      <c r="B65" s="29"/>
      <c r="C65" s="29"/>
      <c r="D65" s="29"/>
      <c r="E65" s="29"/>
      <c r="F65" s="29"/>
      <c r="G65" s="29"/>
      <c r="H65" s="29"/>
      <c r="I65" s="29"/>
      <c r="J65" s="29"/>
      <c r="K65" s="29"/>
      <c r="L65" s="29"/>
      <c r="M65" s="29"/>
      <c r="N65" s="29"/>
      <c r="O65" s="29"/>
      <c r="P65" s="29"/>
      <c r="Q65" s="29"/>
      <c r="R65" s="29"/>
      <c r="S65" s="29"/>
      <c r="T65" s="29"/>
      <c r="U65" s="29"/>
      <c r="V65" s="29"/>
      <c r="W65" s="29"/>
      <c r="X65" s="29"/>
      <c r="Y65" s="30"/>
    </row>
    <row r="66" spans="1:25" ht="15" thickBot="1" x14ac:dyDescent="0.35">
      <c r="A66" s="28"/>
      <c r="B66" s="29"/>
      <c r="C66" s="29"/>
      <c r="D66" s="29"/>
      <c r="E66" s="29"/>
      <c r="F66" s="29"/>
      <c r="G66" s="29"/>
      <c r="H66" s="29"/>
      <c r="I66" s="29"/>
      <c r="J66" s="29"/>
      <c r="K66" s="29"/>
      <c r="L66" s="29"/>
      <c r="M66" s="29"/>
      <c r="N66" s="29"/>
      <c r="O66" s="29"/>
      <c r="P66" s="29"/>
      <c r="Q66" s="29"/>
      <c r="R66" s="29"/>
      <c r="S66" s="29"/>
      <c r="T66" s="29"/>
      <c r="U66" s="29"/>
      <c r="V66" s="29"/>
      <c r="W66" s="29"/>
      <c r="X66" s="29"/>
      <c r="Y66" s="30"/>
    </row>
    <row r="67" spans="1:25" ht="15" thickBot="1" x14ac:dyDescent="0.35">
      <c r="A67" s="28"/>
      <c r="B67" s="29"/>
      <c r="C67" s="29"/>
      <c r="D67" s="29"/>
      <c r="E67" s="29"/>
      <c r="F67" s="29"/>
      <c r="G67" s="29"/>
      <c r="H67" s="29"/>
      <c r="I67" s="29"/>
      <c r="J67" s="29"/>
      <c r="K67" s="29"/>
      <c r="L67" s="29"/>
      <c r="M67" s="29"/>
      <c r="N67" s="29"/>
      <c r="O67" s="29"/>
      <c r="P67" s="29"/>
      <c r="Q67" s="29"/>
      <c r="R67" s="29"/>
      <c r="S67" s="29"/>
      <c r="T67" s="29"/>
      <c r="U67" s="29"/>
      <c r="V67" s="29"/>
      <c r="W67" s="29"/>
      <c r="X67" s="29"/>
      <c r="Y67" s="30"/>
    </row>
    <row r="68" spans="1:25" ht="15" thickBot="1" x14ac:dyDescent="0.35">
      <c r="A68" s="28"/>
      <c r="B68" s="29"/>
      <c r="C68" s="29"/>
      <c r="D68" s="29"/>
      <c r="E68" s="29"/>
      <c r="F68" s="29"/>
      <c r="G68" s="29"/>
      <c r="H68" s="29"/>
      <c r="I68" s="29"/>
      <c r="J68" s="29"/>
      <c r="K68" s="29"/>
      <c r="L68" s="29"/>
      <c r="M68" s="29"/>
      <c r="N68" s="29"/>
      <c r="O68" s="29"/>
      <c r="P68" s="29"/>
      <c r="Q68" s="29"/>
      <c r="R68" s="29"/>
      <c r="S68" s="29"/>
      <c r="T68" s="29"/>
      <c r="U68" s="29"/>
      <c r="V68" s="29"/>
      <c r="W68" s="29"/>
      <c r="X68" s="29"/>
      <c r="Y68" s="30"/>
    </row>
    <row r="69" spans="1:25" ht="15" thickBot="1" x14ac:dyDescent="0.35">
      <c r="A69" s="28"/>
      <c r="B69" s="29"/>
      <c r="C69" s="29"/>
      <c r="D69" s="29"/>
      <c r="E69" s="29"/>
      <c r="F69" s="29"/>
      <c r="G69" s="29"/>
      <c r="H69" s="29"/>
      <c r="I69" s="29"/>
      <c r="J69" s="29"/>
      <c r="K69" s="29"/>
      <c r="L69" s="29"/>
      <c r="M69" s="29"/>
      <c r="N69" s="29"/>
      <c r="O69" s="29"/>
      <c r="P69" s="29"/>
      <c r="Q69" s="29"/>
      <c r="R69" s="29"/>
      <c r="S69" s="29"/>
      <c r="T69" s="29"/>
      <c r="U69" s="29"/>
      <c r="V69" s="29"/>
      <c r="W69" s="29"/>
      <c r="X69" s="29"/>
      <c r="Y69" s="30"/>
    </row>
    <row r="70" spans="1:25" ht="15" thickBot="1" x14ac:dyDescent="0.35">
      <c r="A70" s="28"/>
      <c r="B70" s="29"/>
      <c r="C70" s="29"/>
      <c r="D70" s="29"/>
      <c r="E70" s="29"/>
      <c r="F70" s="29"/>
      <c r="G70" s="29"/>
      <c r="H70" s="29"/>
      <c r="I70" s="29"/>
      <c r="J70" s="29"/>
      <c r="K70" s="29"/>
      <c r="L70" s="29"/>
      <c r="M70" s="29"/>
      <c r="N70" s="29"/>
      <c r="O70" s="29"/>
      <c r="P70" s="29"/>
      <c r="Q70" s="29"/>
      <c r="R70" s="29"/>
      <c r="S70" s="29"/>
      <c r="T70" s="29"/>
      <c r="U70" s="29"/>
      <c r="V70" s="29"/>
      <c r="W70" s="29"/>
      <c r="X70" s="29"/>
      <c r="Y70" s="30"/>
    </row>
    <row r="71" spans="1:25" ht="15" thickBot="1" x14ac:dyDescent="0.35">
      <c r="A71" s="28"/>
      <c r="B71" s="29"/>
      <c r="C71" s="29"/>
      <c r="D71" s="29"/>
      <c r="E71" s="29"/>
      <c r="F71" s="29"/>
      <c r="G71" s="29"/>
      <c r="H71" s="29"/>
      <c r="I71" s="29"/>
      <c r="J71" s="29"/>
      <c r="K71" s="29"/>
      <c r="L71" s="29"/>
      <c r="M71" s="29"/>
      <c r="N71" s="29"/>
      <c r="O71" s="29"/>
      <c r="P71" s="29"/>
      <c r="Q71" s="29"/>
      <c r="R71" s="29"/>
      <c r="S71" s="29"/>
      <c r="T71" s="29"/>
      <c r="U71" s="29"/>
      <c r="V71" s="29"/>
      <c r="W71" s="29"/>
      <c r="X71" s="29"/>
      <c r="Y71" s="30"/>
    </row>
    <row r="72" spans="1:25" ht="15" thickBot="1" x14ac:dyDescent="0.35">
      <c r="A72" s="28"/>
      <c r="B72" s="29"/>
      <c r="C72" s="29"/>
      <c r="D72" s="29"/>
      <c r="E72" s="29"/>
      <c r="F72" s="29"/>
      <c r="G72" s="29"/>
      <c r="H72" s="29"/>
      <c r="I72" s="29"/>
      <c r="J72" s="29"/>
      <c r="K72" s="29"/>
      <c r="L72" s="29"/>
      <c r="M72" s="29"/>
      <c r="N72" s="29"/>
      <c r="O72" s="29"/>
      <c r="P72" s="29"/>
      <c r="Q72" s="29"/>
      <c r="R72" s="29"/>
      <c r="S72" s="29"/>
      <c r="T72" s="29"/>
      <c r="U72" s="29"/>
      <c r="V72" s="29"/>
      <c r="W72" s="29"/>
      <c r="X72" s="29"/>
      <c r="Y72" s="30"/>
    </row>
    <row r="73" spans="1:25" ht="15" thickBot="1" x14ac:dyDescent="0.35">
      <c r="A73" s="28"/>
      <c r="B73" s="29"/>
      <c r="C73" s="29"/>
      <c r="D73" s="29"/>
      <c r="E73" s="29"/>
      <c r="F73" s="29"/>
      <c r="G73" s="29"/>
      <c r="H73" s="29"/>
      <c r="I73" s="29"/>
      <c r="J73" s="29"/>
      <c r="K73" s="29"/>
      <c r="L73" s="29"/>
      <c r="M73" s="29"/>
      <c r="N73" s="29"/>
      <c r="O73" s="29"/>
      <c r="P73" s="29"/>
      <c r="Q73" s="29"/>
      <c r="R73" s="29"/>
      <c r="S73" s="29"/>
      <c r="T73" s="29"/>
      <c r="U73" s="29"/>
      <c r="V73" s="29"/>
      <c r="W73" s="29"/>
      <c r="X73" s="29"/>
      <c r="Y73" s="30"/>
    </row>
    <row r="74" spans="1:25" ht="15" thickBot="1" x14ac:dyDescent="0.35">
      <c r="A74" s="28"/>
      <c r="B74" s="29"/>
      <c r="C74" s="29"/>
      <c r="D74" s="29"/>
      <c r="E74" s="29"/>
      <c r="F74" s="29"/>
      <c r="G74" s="29"/>
      <c r="H74" s="29"/>
      <c r="I74" s="29"/>
      <c r="J74" s="29"/>
      <c r="K74" s="29"/>
      <c r="L74" s="29"/>
      <c r="M74" s="29"/>
      <c r="N74" s="29"/>
      <c r="O74" s="29"/>
      <c r="P74" s="29"/>
      <c r="Q74" s="29"/>
      <c r="R74" s="29"/>
      <c r="S74" s="29"/>
      <c r="T74" s="29"/>
      <c r="U74" s="29"/>
      <c r="V74" s="29"/>
      <c r="W74" s="29"/>
      <c r="X74" s="29"/>
      <c r="Y74" s="30"/>
    </row>
    <row r="75" spans="1:25" ht="15" thickBot="1" x14ac:dyDescent="0.35">
      <c r="A75" s="28"/>
      <c r="B75" s="29"/>
      <c r="C75" s="29"/>
      <c r="D75" s="29"/>
      <c r="E75" s="29"/>
      <c r="F75" s="29"/>
      <c r="G75" s="29"/>
      <c r="H75" s="29"/>
      <c r="I75" s="29"/>
      <c r="J75" s="29"/>
      <c r="K75" s="29"/>
      <c r="L75" s="29"/>
      <c r="M75" s="29"/>
      <c r="N75" s="29"/>
      <c r="O75" s="29"/>
      <c r="P75" s="29"/>
      <c r="Q75" s="29"/>
      <c r="R75" s="29"/>
      <c r="S75" s="29"/>
      <c r="T75" s="29"/>
      <c r="U75" s="29"/>
      <c r="V75" s="29"/>
      <c r="W75" s="29"/>
      <c r="X75" s="29"/>
      <c r="Y75" s="30"/>
    </row>
    <row r="76" spans="1:25" ht="15" thickBot="1" x14ac:dyDescent="0.35">
      <c r="A76" s="28"/>
      <c r="B76" s="29"/>
      <c r="C76" s="29"/>
      <c r="D76" s="29"/>
      <c r="E76" s="29"/>
      <c r="F76" s="29"/>
      <c r="G76" s="29"/>
      <c r="H76" s="29"/>
      <c r="I76" s="29"/>
      <c r="J76" s="29"/>
      <c r="K76" s="29"/>
      <c r="L76" s="29"/>
      <c r="M76" s="29"/>
      <c r="N76" s="29"/>
      <c r="O76" s="29"/>
      <c r="P76" s="29"/>
      <c r="Q76" s="29"/>
      <c r="R76" s="29"/>
      <c r="S76" s="29"/>
      <c r="T76" s="29"/>
      <c r="U76" s="29"/>
      <c r="V76" s="29"/>
      <c r="W76" s="29"/>
      <c r="X76" s="29"/>
      <c r="Y76" s="30"/>
    </row>
    <row r="77" spans="1:25" ht="15" thickBot="1" x14ac:dyDescent="0.35">
      <c r="A77" s="28"/>
      <c r="B77" s="29"/>
      <c r="C77" s="29"/>
      <c r="D77" s="29"/>
      <c r="E77" s="29"/>
      <c r="F77" s="29"/>
      <c r="G77" s="29"/>
      <c r="H77" s="29"/>
      <c r="I77" s="29"/>
      <c r="J77" s="29"/>
      <c r="K77" s="29"/>
      <c r="L77" s="29"/>
      <c r="M77" s="29"/>
      <c r="N77" s="29"/>
      <c r="O77" s="29"/>
      <c r="P77" s="29"/>
      <c r="Q77" s="29"/>
      <c r="R77" s="29"/>
      <c r="S77" s="29"/>
      <c r="T77" s="29"/>
      <c r="U77" s="29"/>
      <c r="V77" s="29"/>
      <c r="W77" s="29"/>
      <c r="X77" s="29"/>
      <c r="Y77" s="30"/>
    </row>
    <row r="78" spans="1:25" ht="15" thickBot="1" x14ac:dyDescent="0.35">
      <c r="A78" s="28"/>
      <c r="B78" s="29"/>
      <c r="C78" s="29"/>
      <c r="D78" s="29"/>
      <c r="E78" s="29"/>
      <c r="F78" s="29"/>
      <c r="G78" s="29"/>
      <c r="H78" s="29"/>
      <c r="I78" s="29"/>
      <c r="J78" s="29"/>
      <c r="K78" s="29"/>
      <c r="L78" s="29"/>
      <c r="M78" s="29"/>
      <c r="N78" s="29"/>
      <c r="O78" s="29"/>
      <c r="P78" s="29"/>
      <c r="Q78" s="29"/>
      <c r="R78" s="29"/>
      <c r="S78" s="29"/>
      <c r="T78" s="29"/>
      <c r="U78" s="29"/>
      <c r="V78" s="29"/>
      <c r="W78" s="29"/>
      <c r="X78" s="29"/>
      <c r="Y78" s="30"/>
    </row>
    <row r="79" spans="1:25" ht="15" thickBot="1" x14ac:dyDescent="0.35">
      <c r="A79" s="28"/>
      <c r="B79" s="29"/>
      <c r="C79" s="29"/>
      <c r="D79" s="29"/>
      <c r="E79" s="29"/>
      <c r="F79" s="29"/>
      <c r="G79" s="29"/>
      <c r="H79" s="29"/>
      <c r="I79" s="29"/>
      <c r="J79" s="29"/>
      <c r="K79" s="29"/>
      <c r="L79" s="29"/>
      <c r="M79" s="29"/>
      <c r="N79" s="29"/>
      <c r="O79" s="29"/>
      <c r="P79" s="29"/>
      <c r="Q79" s="29"/>
      <c r="R79" s="29"/>
      <c r="S79" s="29"/>
      <c r="T79" s="29"/>
      <c r="U79" s="29"/>
      <c r="V79" s="29"/>
      <c r="W79" s="29"/>
      <c r="X79" s="29"/>
      <c r="Y79" s="30"/>
    </row>
    <row r="80" spans="1:25" ht="15" thickBot="1" x14ac:dyDescent="0.35">
      <c r="A80" s="28"/>
      <c r="B80" s="29"/>
      <c r="C80" s="29"/>
      <c r="D80" s="29"/>
      <c r="E80" s="29"/>
      <c r="F80" s="29"/>
      <c r="G80" s="29"/>
      <c r="H80" s="29"/>
      <c r="I80" s="29"/>
      <c r="J80" s="29"/>
      <c r="K80" s="29"/>
      <c r="L80" s="29"/>
      <c r="M80" s="29"/>
      <c r="N80" s="29"/>
      <c r="O80" s="29"/>
      <c r="P80" s="29"/>
      <c r="Q80" s="29"/>
      <c r="R80" s="29"/>
      <c r="S80" s="29"/>
      <c r="T80" s="29"/>
      <c r="U80" s="29"/>
      <c r="V80" s="29"/>
      <c r="W80" s="29"/>
      <c r="X80" s="29"/>
      <c r="Y80" s="30"/>
    </row>
    <row r="81" spans="1:25" ht="15" thickBot="1" x14ac:dyDescent="0.35">
      <c r="A81" s="28"/>
      <c r="B81" s="29"/>
      <c r="C81" s="29"/>
      <c r="D81" s="29"/>
      <c r="E81" s="29"/>
      <c r="F81" s="29"/>
      <c r="G81" s="29"/>
      <c r="H81" s="29"/>
      <c r="I81" s="29"/>
      <c r="J81" s="29"/>
      <c r="K81" s="29"/>
      <c r="L81" s="29"/>
      <c r="M81" s="29"/>
      <c r="N81" s="29"/>
      <c r="O81" s="29"/>
      <c r="P81" s="29"/>
      <c r="Q81" s="29"/>
      <c r="R81" s="29"/>
      <c r="S81" s="29"/>
      <c r="T81" s="29"/>
      <c r="U81" s="29"/>
      <c r="V81" s="29"/>
      <c r="W81" s="29"/>
      <c r="X81" s="29"/>
      <c r="Y81" s="30"/>
    </row>
    <row r="82" spans="1:25" ht="15" thickBot="1" x14ac:dyDescent="0.35">
      <c r="A82" s="28"/>
      <c r="B82" s="29"/>
      <c r="C82" s="29"/>
      <c r="D82" s="29"/>
      <c r="E82" s="29"/>
      <c r="F82" s="29"/>
      <c r="G82" s="29"/>
      <c r="H82" s="29"/>
      <c r="I82" s="29"/>
      <c r="J82" s="29"/>
      <c r="K82" s="29"/>
      <c r="L82" s="29"/>
      <c r="M82" s="29"/>
      <c r="N82" s="29"/>
      <c r="O82" s="29"/>
      <c r="P82" s="29"/>
      <c r="Q82" s="29"/>
      <c r="R82" s="29"/>
      <c r="S82" s="29"/>
      <c r="T82" s="29"/>
      <c r="U82" s="29"/>
      <c r="V82" s="29"/>
      <c r="W82" s="29"/>
      <c r="X82" s="29"/>
      <c r="Y82" s="30"/>
    </row>
    <row r="83" spans="1:25" ht="15" thickBot="1" x14ac:dyDescent="0.35">
      <c r="A83" s="28"/>
      <c r="B83" s="29"/>
      <c r="C83" s="29"/>
      <c r="D83" s="29"/>
      <c r="E83" s="29"/>
      <c r="F83" s="29"/>
      <c r="G83" s="29"/>
      <c r="H83" s="29"/>
      <c r="I83" s="29"/>
      <c r="J83" s="29"/>
      <c r="K83" s="29"/>
      <c r="L83" s="29"/>
      <c r="M83" s="29"/>
      <c r="N83" s="29"/>
      <c r="O83" s="29"/>
      <c r="P83" s="29"/>
      <c r="Q83" s="29"/>
      <c r="R83" s="29"/>
      <c r="S83" s="29"/>
      <c r="T83" s="29"/>
      <c r="U83" s="29"/>
      <c r="V83" s="29"/>
      <c r="W83" s="29"/>
      <c r="X83" s="29"/>
      <c r="Y83" s="30"/>
    </row>
    <row r="84" spans="1:25" ht="15" thickBot="1" x14ac:dyDescent="0.35">
      <c r="A84" s="28"/>
      <c r="B84" s="29"/>
      <c r="C84" s="29"/>
      <c r="D84" s="29"/>
      <c r="E84" s="29"/>
      <c r="F84" s="29"/>
      <c r="G84" s="29"/>
      <c r="H84" s="29"/>
      <c r="I84" s="29"/>
      <c r="J84" s="29"/>
      <c r="K84" s="29"/>
      <c r="L84" s="29"/>
      <c r="M84" s="29"/>
      <c r="N84" s="29"/>
      <c r="O84" s="29"/>
      <c r="P84" s="29"/>
      <c r="Q84" s="29"/>
      <c r="R84" s="29"/>
      <c r="S84" s="29"/>
      <c r="T84" s="29"/>
      <c r="U84" s="29"/>
      <c r="V84" s="29"/>
      <c r="W84" s="29"/>
      <c r="X84" s="29"/>
      <c r="Y84" s="30"/>
    </row>
    <row r="85" spans="1:25" ht="15" thickBot="1" x14ac:dyDescent="0.35">
      <c r="A85" s="28"/>
      <c r="B85" s="29"/>
      <c r="C85" s="29"/>
      <c r="D85" s="29"/>
      <c r="E85" s="29"/>
      <c r="F85" s="29"/>
      <c r="G85" s="29"/>
      <c r="H85" s="29"/>
      <c r="I85" s="29"/>
      <c r="J85" s="29"/>
      <c r="K85" s="29"/>
      <c r="L85" s="29"/>
      <c r="M85" s="29"/>
      <c r="N85" s="29"/>
      <c r="O85" s="29"/>
      <c r="P85" s="29"/>
      <c r="Q85" s="29"/>
      <c r="R85" s="29"/>
      <c r="S85" s="29"/>
      <c r="T85" s="29"/>
      <c r="U85" s="29"/>
      <c r="V85" s="29"/>
      <c r="W85" s="29"/>
      <c r="X85" s="29"/>
      <c r="Y85" s="30"/>
    </row>
    <row r="86" spans="1:25" ht="15" thickBot="1" x14ac:dyDescent="0.35">
      <c r="A86" s="28"/>
      <c r="B86" s="29"/>
      <c r="C86" s="29"/>
      <c r="D86" s="29"/>
      <c r="E86" s="29"/>
      <c r="F86" s="29"/>
      <c r="G86" s="29"/>
      <c r="H86" s="29"/>
      <c r="I86" s="29"/>
      <c r="J86" s="29"/>
      <c r="K86" s="29"/>
      <c r="L86" s="29"/>
      <c r="M86" s="29"/>
      <c r="N86" s="29"/>
      <c r="O86" s="29"/>
      <c r="P86" s="29"/>
      <c r="Q86" s="29"/>
      <c r="R86" s="29"/>
      <c r="S86" s="29"/>
      <c r="T86" s="29"/>
      <c r="U86" s="29"/>
      <c r="V86" s="29"/>
      <c r="W86" s="29"/>
      <c r="X86" s="29"/>
      <c r="Y86" s="30"/>
    </row>
    <row r="87" spans="1:25" ht="15" thickBot="1" x14ac:dyDescent="0.35">
      <c r="A87" s="28"/>
      <c r="B87" s="29"/>
      <c r="C87" s="29"/>
      <c r="D87" s="29"/>
      <c r="E87" s="29"/>
      <c r="F87" s="29"/>
      <c r="G87" s="29"/>
      <c r="H87" s="29"/>
      <c r="I87" s="29"/>
      <c r="J87" s="29"/>
      <c r="K87" s="29"/>
      <c r="L87" s="29"/>
      <c r="M87" s="29"/>
      <c r="N87" s="29"/>
      <c r="O87" s="29"/>
      <c r="P87" s="29"/>
      <c r="Q87" s="29"/>
      <c r="R87" s="29"/>
      <c r="S87" s="29"/>
      <c r="T87" s="29"/>
      <c r="U87" s="29"/>
      <c r="V87" s="29"/>
      <c r="W87" s="29"/>
      <c r="X87" s="29"/>
      <c r="Y87" s="30"/>
    </row>
    <row r="88" spans="1:25" ht="15" thickBot="1" x14ac:dyDescent="0.35">
      <c r="A88" s="28"/>
      <c r="B88" s="29"/>
      <c r="C88" s="29"/>
      <c r="D88" s="29"/>
      <c r="E88" s="29"/>
      <c r="F88" s="29"/>
      <c r="G88" s="29"/>
      <c r="H88" s="29"/>
      <c r="I88" s="29"/>
      <c r="J88" s="29"/>
      <c r="K88" s="29"/>
      <c r="L88" s="29"/>
      <c r="M88" s="29"/>
      <c r="N88" s="29"/>
      <c r="O88" s="29"/>
      <c r="P88" s="29"/>
      <c r="Q88" s="29"/>
      <c r="R88" s="29"/>
      <c r="S88" s="29"/>
      <c r="T88" s="29"/>
      <c r="U88" s="29"/>
      <c r="V88" s="29"/>
      <c r="W88" s="29"/>
      <c r="X88" s="29"/>
      <c r="Y88" s="30"/>
    </row>
    <row r="89" spans="1:25" ht="15" thickBot="1" x14ac:dyDescent="0.35">
      <c r="A89" s="28"/>
      <c r="B89" s="29"/>
      <c r="C89" s="29"/>
      <c r="D89" s="29"/>
      <c r="E89" s="29"/>
      <c r="F89" s="29"/>
      <c r="G89" s="29"/>
      <c r="H89" s="29"/>
      <c r="I89" s="29"/>
      <c r="J89" s="29"/>
      <c r="K89" s="29"/>
      <c r="L89" s="29"/>
      <c r="M89" s="29"/>
      <c r="N89" s="29"/>
      <c r="O89" s="29"/>
      <c r="P89" s="29"/>
      <c r="Q89" s="29"/>
      <c r="R89" s="29"/>
      <c r="S89" s="29"/>
      <c r="T89" s="29"/>
      <c r="U89" s="29"/>
      <c r="V89" s="29"/>
      <c r="W89" s="29"/>
      <c r="X89" s="29"/>
      <c r="Y89" s="30"/>
    </row>
    <row r="90" spans="1:25" ht="15" thickBot="1" x14ac:dyDescent="0.35">
      <c r="A90" s="28"/>
      <c r="B90" s="29"/>
      <c r="C90" s="29"/>
      <c r="D90" s="29"/>
      <c r="E90" s="29"/>
      <c r="F90" s="29"/>
      <c r="G90" s="29"/>
      <c r="H90" s="29"/>
      <c r="I90" s="29"/>
      <c r="J90" s="29"/>
      <c r="K90" s="29"/>
      <c r="L90" s="29"/>
      <c r="M90" s="29"/>
      <c r="N90" s="29"/>
      <c r="O90" s="29"/>
      <c r="P90" s="29"/>
      <c r="Q90" s="29"/>
      <c r="R90" s="29"/>
      <c r="S90" s="29"/>
      <c r="T90" s="29"/>
      <c r="U90" s="29"/>
      <c r="V90" s="29"/>
      <c r="W90" s="29"/>
      <c r="X90" s="29"/>
      <c r="Y90" s="30"/>
    </row>
    <row r="91" spans="1:25" ht="15" thickBot="1" x14ac:dyDescent="0.35">
      <c r="A91" s="28"/>
      <c r="B91" s="29"/>
      <c r="C91" s="29"/>
      <c r="D91" s="29"/>
      <c r="E91" s="29"/>
      <c r="F91" s="29"/>
      <c r="G91" s="29"/>
      <c r="H91" s="29"/>
      <c r="I91" s="29"/>
      <c r="J91" s="29"/>
      <c r="K91" s="29"/>
      <c r="L91" s="29"/>
      <c r="M91" s="29"/>
      <c r="N91" s="29"/>
      <c r="O91" s="29"/>
      <c r="P91" s="29"/>
      <c r="Q91" s="29"/>
      <c r="R91" s="29"/>
      <c r="S91" s="29"/>
      <c r="T91" s="29"/>
      <c r="U91" s="29"/>
      <c r="V91" s="29"/>
      <c r="W91" s="29"/>
      <c r="X91" s="29"/>
      <c r="Y91" s="30"/>
    </row>
    <row r="92" spans="1:25" ht="15" thickBot="1" x14ac:dyDescent="0.35">
      <c r="A92" s="28"/>
      <c r="B92" s="29"/>
      <c r="C92" s="29"/>
      <c r="D92" s="29"/>
      <c r="E92" s="29"/>
      <c r="F92" s="29"/>
      <c r="G92" s="29"/>
      <c r="H92" s="29"/>
      <c r="I92" s="29"/>
      <c r="J92" s="29"/>
      <c r="K92" s="29"/>
      <c r="L92" s="29"/>
      <c r="M92" s="29"/>
      <c r="N92" s="29"/>
      <c r="O92" s="29"/>
      <c r="P92" s="29"/>
      <c r="Q92" s="29"/>
      <c r="R92" s="29"/>
      <c r="S92" s="29"/>
      <c r="T92" s="29"/>
      <c r="U92" s="29"/>
      <c r="V92" s="29"/>
      <c r="W92" s="29"/>
      <c r="X92" s="29"/>
      <c r="Y92" s="30"/>
    </row>
    <row r="93" spans="1:25" ht="15" thickBot="1" x14ac:dyDescent="0.35">
      <c r="A93" s="28"/>
      <c r="B93" s="29"/>
      <c r="C93" s="29"/>
      <c r="D93" s="29"/>
      <c r="E93" s="29"/>
      <c r="F93" s="29"/>
      <c r="G93" s="29"/>
      <c r="H93" s="29"/>
      <c r="I93" s="29"/>
      <c r="J93" s="29"/>
      <c r="K93" s="29"/>
      <c r="L93" s="29"/>
      <c r="M93" s="29"/>
      <c r="N93" s="29"/>
      <c r="O93" s="29"/>
      <c r="P93" s="29"/>
      <c r="Q93" s="29"/>
      <c r="R93" s="29"/>
      <c r="S93" s="29"/>
      <c r="T93" s="29"/>
      <c r="U93" s="29"/>
      <c r="V93" s="29"/>
      <c r="W93" s="29"/>
      <c r="X93" s="29"/>
      <c r="Y93" s="30"/>
    </row>
    <row r="94" spans="1:25" ht="15" thickBot="1" x14ac:dyDescent="0.35">
      <c r="A94" s="28"/>
      <c r="B94" s="29"/>
      <c r="C94" s="29"/>
      <c r="D94" s="29"/>
      <c r="E94" s="29"/>
      <c r="F94" s="29"/>
      <c r="G94" s="29"/>
      <c r="H94" s="29"/>
      <c r="I94" s="29"/>
      <c r="J94" s="29"/>
      <c r="K94" s="29"/>
      <c r="L94" s="29"/>
      <c r="M94" s="29"/>
      <c r="N94" s="29"/>
      <c r="O94" s="29"/>
      <c r="P94" s="29"/>
      <c r="Q94" s="29"/>
      <c r="R94" s="29"/>
      <c r="S94" s="29"/>
      <c r="T94" s="29"/>
      <c r="U94" s="29"/>
      <c r="V94" s="29"/>
      <c r="W94" s="29"/>
      <c r="X94" s="29"/>
      <c r="Y94" s="30"/>
    </row>
    <row r="95" spans="1:25" ht="15" thickBot="1" x14ac:dyDescent="0.35">
      <c r="A95" s="28"/>
      <c r="B95" s="29"/>
      <c r="C95" s="29"/>
      <c r="D95" s="29"/>
      <c r="E95" s="29"/>
      <c r="F95" s="29"/>
      <c r="G95" s="29"/>
      <c r="H95" s="29"/>
      <c r="I95" s="29"/>
      <c r="J95" s="29"/>
      <c r="K95" s="29"/>
      <c r="L95" s="29"/>
      <c r="M95" s="29"/>
      <c r="N95" s="29"/>
      <c r="O95" s="29"/>
      <c r="P95" s="29"/>
      <c r="Q95" s="29"/>
      <c r="R95" s="29"/>
      <c r="S95" s="29"/>
      <c r="T95" s="29"/>
      <c r="U95" s="29"/>
      <c r="V95" s="29"/>
      <c r="W95" s="29"/>
      <c r="X95" s="29"/>
      <c r="Y95" s="30"/>
    </row>
    <row r="96" spans="1:25" ht="15" thickBot="1" x14ac:dyDescent="0.35">
      <c r="A96" s="28"/>
      <c r="B96" s="29"/>
      <c r="C96" s="29"/>
      <c r="D96" s="29"/>
      <c r="E96" s="29"/>
      <c r="F96" s="29"/>
      <c r="G96" s="29"/>
      <c r="H96" s="29"/>
      <c r="I96" s="29"/>
      <c r="J96" s="29"/>
      <c r="K96" s="29"/>
      <c r="L96" s="29"/>
      <c r="M96" s="29"/>
      <c r="N96" s="29"/>
      <c r="O96" s="29"/>
      <c r="P96" s="29"/>
      <c r="Q96" s="29"/>
      <c r="R96" s="29"/>
      <c r="S96" s="29"/>
      <c r="T96" s="29"/>
      <c r="U96" s="29"/>
      <c r="V96" s="29"/>
      <c r="W96" s="29"/>
      <c r="X96" s="29"/>
      <c r="Y96" s="30"/>
    </row>
    <row r="97" spans="1:25" ht="15" thickBot="1" x14ac:dyDescent="0.35">
      <c r="A97" s="28"/>
      <c r="B97" s="29"/>
      <c r="C97" s="29"/>
      <c r="D97" s="29"/>
      <c r="E97" s="29"/>
      <c r="F97" s="29"/>
      <c r="G97" s="29"/>
      <c r="H97" s="29"/>
      <c r="I97" s="29"/>
      <c r="J97" s="29"/>
      <c r="K97" s="29"/>
      <c r="L97" s="29"/>
      <c r="M97" s="29"/>
      <c r="N97" s="29"/>
      <c r="O97" s="29"/>
      <c r="P97" s="29"/>
      <c r="Q97" s="29"/>
      <c r="R97" s="29"/>
      <c r="S97" s="29"/>
      <c r="T97" s="29"/>
      <c r="U97" s="29"/>
      <c r="V97" s="29"/>
      <c r="W97" s="29"/>
      <c r="X97" s="29"/>
      <c r="Y97" s="30"/>
    </row>
    <row r="98" spans="1:25" ht="15" thickBot="1" x14ac:dyDescent="0.35">
      <c r="A98" s="28"/>
      <c r="B98" s="29"/>
      <c r="C98" s="29"/>
      <c r="D98" s="29"/>
      <c r="E98" s="29"/>
      <c r="F98" s="29"/>
      <c r="G98" s="29"/>
      <c r="H98" s="29"/>
      <c r="I98" s="29"/>
      <c r="J98" s="29"/>
      <c r="K98" s="29"/>
      <c r="L98" s="29"/>
      <c r="M98" s="29"/>
      <c r="N98" s="29"/>
      <c r="O98" s="29"/>
      <c r="P98" s="29"/>
      <c r="Q98" s="29"/>
      <c r="R98" s="29"/>
      <c r="S98" s="29"/>
      <c r="T98" s="29"/>
      <c r="U98" s="29"/>
      <c r="V98" s="29"/>
      <c r="W98" s="29"/>
      <c r="X98" s="29"/>
      <c r="Y98" s="30"/>
    </row>
    <row r="99" spans="1:25" ht="15" thickBot="1" x14ac:dyDescent="0.35">
      <c r="A99" s="28"/>
      <c r="B99" s="29"/>
      <c r="C99" s="29"/>
      <c r="D99" s="29"/>
      <c r="E99" s="29"/>
      <c r="F99" s="29"/>
      <c r="G99" s="29"/>
      <c r="H99" s="29"/>
      <c r="I99" s="29"/>
      <c r="J99" s="29"/>
      <c r="K99" s="29"/>
      <c r="L99" s="29"/>
      <c r="M99" s="29"/>
      <c r="N99" s="29"/>
      <c r="O99" s="29"/>
      <c r="P99" s="29"/>
      <c r="Q99" s="29"/>
      <c r="R99" s="29"/>
      <c r="S99" s="29"/>
      <c r="T99" s="29"/>
      <c r="U99" s="29"/>
      <c r="V99" s="29"/>
      <c r="W99" s="29"/>
      <c r="X99" s="29"/>
      <c r="Y99" s="30"/>
    </row>
    <row r="100" spans="1:25" ht="15" thickBot="1" x14ac:dyDescent="0.35">
      <c r="A100" s="28"/>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30"/>
    </row>
    <row r="101" spans="1:25" ht="15" thickBot="1" x14ac:dyDescent="0.35">
      <c r="A101" s="28"/>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30"/>
    </row>
    <row r="102" spans="1:25" ht="15" thickBot="1" x14ac:dyDescent="0.35">
      <c r="A102" s="28"/>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30"/>
    </row>
    <row r="103" spans="1:25" ht="15" thickBot="1" x14ac:dyDescent="0.35">
      <c r="A103" s="28"/>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30"/>
    </row>
    <row r="104" spans="1:25" ht="15" thickBot="1" x14ac:dyDescent="0.35">
      <c r="A104" s="28"/>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30"/>
    </row>
    <row r="105" spans="1:25" ht="15" thickBot="1" x14ac:dyDescent="0.35">
      <c r="A105" s="28"/>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30"/>
    </row>
    <row r="106" spans="1:25" ht="15" thickBot="1" x14ac:dyDescent="0.35">
      <c r="A106" s="28"/>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30"/>
    </row>
    <row r="107" spans="1:25" ht="15" thickBot="1" x14ac:dyDescent="0.35">
      <c r="A107" s="28"/>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30"/>
    </row>
    <row r="108" spans="1:25" ht="15" thickBot="1" x14ac:dyDescent="0.35">
      <c r="A108" s="28"/>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30"/>
    </row>
    <row r="109" spans="1:25" ht="15" thickBot="1" x14ac:dyDescent="0.35">
      <c r="A109" s="28"/>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30"/>
    </row>
    <row r="110" spans="1:25" ht="15" thickBot="1" x14ac:dyDescent="0.35">
      <c r="A110" s="28"/>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30"/>
    </row>
    <row r="111" spans="1:25" ht="15" thickBot="1" x14ac:dyDescent="0.35">
      <c r="A111" s="28"/>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30"/>
    </row>
    <row r="112" spans="1:25" ht="15" thickBot="1" x14ac:dyDescent="0.35">
      <c r="A112" s="28"/>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30"/>
    </row>
    <row r="113" spans="1:25" ht="15" thickBot="1" x14ac:dyDescent="0.35">
      <c r="A113" s="28"/>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30"/>
    </row>
    <row r="114" spans="1:25" ht="15" thickBot="1" x14ac:dyDescent="0.35">
      <c r="A114" s="28"/>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30"/>
    </row>
    <row r="115" spans="1:25" ht="15" thickBot="1" x14ac:dyDescent="0.35">
      <c r="A115" s="28"/>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30"/>
    </row>
    <row r="116" spans="1:25" ht="15" thickBot="1" x14ac:dyDescent="0.35">
      <c r="A116" s="28"/>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30"/>
    </row>
    <row r="117" spans="1:25" ht="15" thickBot="1" x14ac:dyDescent="0.35">
      <c r="A117" s="28"/>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30"/>
    </row>
    <row r="118" spans="1:25" ht="15" thickBot="1" x14ac:dyDescent="0.35">
      <c r="A118" s="28"/>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30"/>
    </row>
    <row r="119" spans="1:25" ht="15" thickBot="1" x14ac:dyDescent="0.35">
      <c r="A119" s="28"/>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30"/>
    </row>
    <row r="120" spans="1:25" ht="15" thickBot="1" x14ac:dyDescent="0.35">
      <c r="A120" s="28"/>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30"/>
    </row>
    <row r="121" spans="1:25" ht="15" thickBot="1" x14ac:dyDescent="0.35">
      <c r="A121" s="28"/>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30"/>
    </row>
    <row r="122" spans="1:25" ht="15" thickBot="1" x14ac:dyDescent="0.35">
      <c r="A122" s="28"/>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30"/>
    </row>
    <row r="123" spans="1:25" ht="15" thickBot="1" x14ac:dyDescent="0.35">
      <c r="A123" s="28"/>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30"/>
    </row>
    <row r="124" spans="1:25" ht="15" thickBot="1" x14ac:dyDescent="0.35">
      <c r="A124" s="28"/>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30"/>
    </row>
    <row r="125" spans="1:25" ht="15" thickBot="1" x14ac:dyDescent="0.35">
      <c r="A125" s="28"/>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30"/>
    </row>
    <row r="126" spans="1:25" ht="15" thickBot="1" x14ac:dyDescent="0.35">
      <c r="A126" s="28"/>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30"/>
    </row>
    <row r="127" spans="1:25" ht="15" thickBot="1" x14ac:dyDescent="0.35">
      <c r="A127" s="28"/>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30"/>
    </row>
    <row r="128" spans="1:25" ht="15" thickBot="1" x14ac:dyDescent="0.35">
      <c r="A128" s="28"/>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30"/>
    </row>
    <row r="129" spans="1:25" ht="15" thickBot="1" x14ac:dyDescent="0.35">
      <c r="A129" s="28"/>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30"/>
    </row>
    <row r="130" spans="1:25" ht="15" thickBot="1" x14ac:dyDescent="0.35">
      <c r="A130" s="28"/>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30"/>
    </row>
    <row r="131" spans="1:25" ht="15" thickBot="1" x14ac:dyDescent="0.35">
      <c r="A131" s="28"/>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30"/>
    </row>
    <row r="132" spans="1:25" ht="15" thickBot="1" x14ac:dyDescent="0.35">
      <c r="A132" s="28"/>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30"/>
    </row>
    <row r="133" spans="1:25" ht="15" thickBot="1" x14ac:dyDescent="0.35">
      <c r="A133" s="28"/>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30"/>
    </row>
    <row r="134" spans="1:25" ht="15" thickBot="1" x14ac:dyDescent="0.35">
      <c r="A134" s="28"/>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30"/>
    </row>
    <row r="135" spans="1:25" ht="15" thickBot="1" x14ac:dyDescent="0.35">
      <c r="A135" s="28"/>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30"/>
    </row>
    <row r="136" spans="1:25" ht="15" thickBot="1" x14ac:dyDescent="0.35">
      <c r="A136" s="28"/>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30"/>
    </row>
    <row r="137" spans="1:25" ht="15" thickBot="1" x14ac:dyDescent="0.35">
      <c r="A137" s="28"/>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30"/>
    </row>
    <row r="138" spans="1:25" ht="15" thickBot="1" x14ac:dyDescent="0.35">
      <c r="A138" s="28"/>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30"/>
    </row>
    <row r="139" spans="1:25" ht="15" thickBot="1" x14ac:dyDescent="0.35">
      <c r="A139" s="28"/>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30"/>
    </row>
    <row r="140" spans="1:25" ht="15" thickBot="1" x14ac:dyDescent="0.35">
      <c r="A140" s="28"/>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30"/>
    </row>
    <row r="141" spans="1:25" ht="15" thickBot="1" x14ac:dyDescent="0.35">
      <c r="A141" s="28"/>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30"/>
    </row>
    <row r="142" spans="1:25" ht="15" thickBot="1" x14ac:dyDescent="0.35">
      <c r="A142" s="28"/>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30"/>
    </row>
    <row r="143" spans="1:25" ht="15" thickBot="1" x14ac:dyDescent="0.35">
      <c r="A143" s="28"/>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30"/>
    </row>
    <row r="144" spans="1:25" ht="15" thickBot="1" x14ac:dyDescent="0.35">
      <c r="A144" s="28"/>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30"/>
    </row>
    <row r="145" spans="1:25" ht="15" thickBot="1" x14ac:dyDescent="0.35">
      <c r="A145" s="28"/>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30"/>
    </row>
    <row r="146" spans="1:25" ht="15" thickBot="1" x14ac:dyDescent="0.35">
      <c r="A146" s="28"/>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30"/>
    </row>
    <row r="147" spans="1:25" ht="15" thickBot="1" x14ac:dyDescent="0.35">
      <c r="A147" s="28"/>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30"/>
    </row>
    <row r="148" spans="1:25" ht="15" thickBot="1" x14ac:dyDescent="0.35">
      <c r="A148" s="28"/>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30"/>
    </row>
    <row r="149" spans="1:25" ht="15" thickBot="1" x14ac:dyDescent="0.35">
      <c r="A149" s="28"/>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30"/>
    </row>
    <row r="150" spans="1:25" ht="15" thickBot="1" x14ac:dyDescent="0.35">
      <c r="A150" s="28"/>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30"/>
    </row>
    <row r="151" spans="1:25" ht="15" thickBot="1" x14ac:dyDescent="0.35">
      <c r="A151" s="28"/>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30"/>
    </row>
    <row r="152" spans="1:25" ht="15" thickBot="1" x14ac:dyDescent="0.35">
      <c r="A152" s="28"/>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30"/>
    </row>
    <row r="153" spans="1:25" ht="15" thickBot="1" x14ac:dyDescent="0.35">
      <c r="A153" s="28"/>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30"/>
    </row>
    <row r="154" spans="1:25" ht="15" thickBot="1" x14ac:dyDescent="0.35">
      <c r="A154" s="28"/>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30"/>
    </row>
    <row r="155" spans="1:25" ht="15" thickBot="1" x14ac:dyDescent="0.35">
      <c r="A155" s="28"/>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30"/>
    </row>
    <row r="156" spans="1:25" ht="15" thickBot="1" x14ac:dyDescent="0.35">
      <c r="A156" s="28"/>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30"/>
    </row>
    <row r="157" spans="1:25" ht="15" thickBot="1" x14ac:dyDescent="0.35">
      <c r="A157" s="28"/>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30"/>
    </row>
    <row r="158" spans="1:25" ht="15" thickBot="1" x14ac:dyDescent="0.35">
      <c r="A158" s="28"/>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30"/>
    </row>
    <row r="159" spans="1:25" ht="15" thickBot="1" x14ac:dyDescent="0.35">
      <c r="A159" s="28"/>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30"/>
    </row>
    <row r="160" spans="1:25" ht="15" thickBot="1" x14ac:dyDescent="0.35">
      <c r="A160" s="28"/>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30"/>
    </row>
    <row r="161" spans="1:25" ht="15" thickBot="1" x14ac:dyDescent="0.35">
      <c r="A161" s="28"/>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30"/>
    </row>
    <row r="162" spans="1:25" ht="15" thickBot="1" x14ac:dyDescent="0.35">
      <c r="A162" s="28"/>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30"/>
    </row>
    <row r="163" spans="1:25" ht="15" thickBot="1" x14ac:dyDescent="0.35">
      <c r="A163" s="28"/>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30"/>
    </row>
    <row r="164" spans="1:25" ht="15" thickBot="1" x14ac:dyDescent="0.35">
      <c r="A164" s="28"/>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30"/>
    </row>
    <row r="165" spans="1:25" ht="15" thickBot="1" x14ac:dyDescent="0.35">
      <c r="A165" s="28"/>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30"/>
    </row>
    <row r="166" spans="1:25" ht="15" thickBot="1" x14ac:dyDescent="0.35">
      <c r="A166" s="28"/>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30"/>
    </row>
    <row r="167" spans="1:25" ht="15" thickBot="1" x14ac:dyDescent="0.35">
      <c r="A167" s="28"/>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30"/>
    </row>
    <row r="168" spans="1:25" ht="15" thickBot="1" x14ac:dyDescent="0.35">
      <c r="A168" s="28"/>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30"/>
    </row>
    <row r="169" spans="1:25" ht="15" thickBot="1" x14ac:dyDescent="0.35">
      <c r="A169" s="28"/>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30"/>
    </row>
    <row r="170" spans="1:25" ht="15" thickBot="1" x14ac:dyDescent="0.35">
      <c r="A170" s="28"/>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30"/>
    </row>
    <row r="171" spans="1:25" ht="15" thickBot="1" x14ac:dyDescent="0.35">
      <c r="A171" s="28"/>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30"/>
    </row>
    <row r="172" spans="1:25" ht="15" thickBot="1" x14ac:dyDescent="0.35">
      <c r="A172" s="28"/>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30"/>
    </row>
    <row r="173" spans="1:25" ht="15" thickBot="1" x14ac:dyDescent="0.35">
      <c r="A173" s="28"/>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30"/>
    </row>
    <row r="174" spans="1:25" ht="15" thickBot="1" x14ac:dyDescent="0.35">
      <c r="A174" s="28"/>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30"/>
    </row>
    <row r="175" spans="1:25" ht="15" thickBot="1" x14ac:dyDescent="0.35">
      <c r="A175" s="28"/>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30"/>
    </row>
    <row r="176" spans="1:25" ht="15" thickBot="1" x14ac:dyDescent="0.35">
      <c r="A176" s="28"/>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30"/>
    </row>
    <row r="177" spans="1:25" ht="15" thickBot="1" x14ac:dyDescent="0.35">
      <c r="A177" s="28"/>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30"/>
    </row>
    <row r="178" spans="1:25" ht="15" thickBot="1" x14ac:dyDescent="0.35">
      <c r="A178" s="28"/>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30"/>
    </row>
    <row r="179" spans="1:25" ht="15" thickBot="1" x14ac:dyDescent="0.35">
      <c r="A179" s="28"/>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30"/>
    </row>
    <row r="180" spans="1:25" ht="15" thickBot="1" x14ac:dyDescent="0.35">
      <c r="A180" s="28"/>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30"/>
    </row>
    <row r="181" spans="1:25" ht="15" thickBot="1" x14ac:dyDescent="0.35">
      <c r="A181" s="28"/>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30"/>
    </row>
    <row r="182" spans="1:25" ht="15" thickBot="1" x14ac:dyDescent="0.35">
      <c r="A182" s="28"/>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30"/>
    </row>
    <row r="183" spans="1:25" ht="15" thickBot="1" x14ac:dyDescent="0.35">
      <c r="A183" s="28"/>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30"/>
    </row>
    <row r="184" spans="1:25" ht="15" thickBot="1" x14ac:dyDescent="0.35">
      <c r="A184" s="28"/>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30"/>
    </row>
    <row r="185" spans="1:25" ht="15" thickBot="1" x14ac:dyDescent="0.35">
      <c r="A185" s="28"/>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30"/>
    </row>
    <row r="186" spans="1:25" ht="15" thickBot="1" x14ac:dyDescent="0.35">
      <c r="A186" s="28"/>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30"/>
    </row>
    <row r="187" spans="1:25" ht="15" thickBot="1" x14ac:dyDescent="0.35">
      <c r="A187" s="28"/>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30"/>
    </row>
    <row r="188" spans="1:25" ht="15" thickBot="1" x14ac:dyDescent="0.35">
      <c r="A188" s="28"/>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30"/>
    </row>
    <row r="189" spans="1:25" ht="15" thickBot="1" x14ac:dyDescent="0.35">
      <c r="A189" s="28"/>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30"/>
    </row>
    <row r="190" spans="1:25" ht="15" thickBot="1" x14ac:dyDescent="0.35">
      <c r="A190" s="28"/>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30"/>
    </row>
    <row r="191" spans="1:25" ht="15" thickBot="1" x14ac:dyDescent="0.35">
      <c r="A191" s="28"/>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30"/>
    </row>
    <row r="192" spans="1:25" ht="15" thickBot="1" x14ac:dyDescent="0.35">
      <c r="A192" s="28"/>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30"/>
    </row>
    <row r="193" spans="1:25" ht="15" thickBot="1" x14ac:dyDescent="0.35">
      <c r="A193" s="28"/>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30"/>
    </row>
    <row r="194" spans="1:25" ht="15" thickBot="1" x14ac:dyDescent="0.35">
      <c r="A194" s="28"/>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30"/>
    </row>
    <row r="195" spans="1:25" ht="15" thickBot="1" x14ac:dyDescent="0.35">
      <c r="A195" s="28"/>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30"/>
    </row>
    <row r="196" spans="1:25" ht="15" thickBot="1" x14ac:dyDescent="0.35">
      <c r="A196" s="28"/>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30"/>
    </row>
    <row r="197" spans="1:25" ht="15" thickBot="1" x14ac:dyDescent="0.35">
      <c r="A197" s="28"/>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30"/>
    </row>
    <row r="198" spans="1:25" ht="15" thickBot="1" x14ac:dyDescent="0.35">
      <c r="A198" s="28"/>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30"/>
    </row>
    <row r="199" spans="1:25" ht="15" thickBot="1" x14ac:dyDescent="0.35">
      <c r="A199" s="28"/>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30"/>
    </row>
    <row r="200" spans="1:25" ht="15" thickBot="1" x14ac:dyDescent="0.35">
      <c r="A200" s="28"/>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30"/>
    </row>
    <row r="201" spans="1:25" ht="15" thickBot="1" x14ac:dyDescent="0.35">
      <c r="A201" s="28"/>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30"/>
    </row>
    <row r="202" spans="1:25" ht="15" thickBot="1" x14ac:dyDescent="0.35">
      <c r="A202" s="28"/>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30"/>
    </row>
    <row r="203" spans="1:25" ht="15" thickBot="1" x14ac:dyDescent="0.35">
      <c r="A203" s="28"/>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30"/>
    </row>
    <row r="204" spans="1:25" ht="15" thickBot="1" x14ac:dyDescent="0.35">
      <c r="A204" s="28"/>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30"/>
    </row>
    <row r="205" spans="1:25" ht="15" thickBot="1" x14ac:dyDescent="0.35">
      <c r="A205" s="28"/>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30"/>
    </row>
    <row r="206" spans="1:25" ht="15" thickBot="1" x14ac:dyDescent="0.35">
      <c r="A206" s="28"/>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30"/>
    </row>
    <row r="207" spans="1:25" ht="15" thickBot="1" x14ac:dyDescent="0.35">
      <c r="A207" s="28"/>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30"/>
    </row>
    <row r="208" spans="1:25" ht="15" thickBot="1" x14ac:dyDescent="0.35">
      <c r="A208" s="28"/>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30"/>
    </row>
    <row r="209" spans="1:25" ht="15" thickBot="1" x14ac:dyDescent="0.35">
      <c r="A209" s="28"/>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30"/>
    </row>
    <row r="210" spans="1:25" ht="15" thickBot="1" x14ac:dyDescent="0.35">
      <c r="A210" s="28"/>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30"/>
    </row>
    <row r="211" spans="1:25" ht="15" thickBot="1" x14ac:dyDescent="0.35">
      <c r="A211" s="28"/>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30"/>
    </row>
    <row r="212" spans="1:25" ht="15" thickBot="1" x14ac:dyDescent="0.35">
      <c r="A212" s="28"/>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30"/>
    </row>
    <row r="213" spans="1:25" ht="15" thickBot="1" x14ac:dyDescent="0.35">
      <c r="A213" s="28"/>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30"/>
    </row>
    <row r="214" spans="1:25" ht="15" thickBot="1" x14ac:dyDescent="0.35">
      <c r="A214" s="28"/>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30"/>
    </row>
    <row r="215" spans="1:25" ht="15" thickBot="1" x14ac:dyDescent="0.35">
      <c r="A215" s="28"/>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30"/>
    </row>
    <row r="216" spans="1:25" ht="15" thickBot="1" x14ac:dyDescent="0.35">
      <c r="A216" s="28"/>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30"/>
    </row>
    <row r="217" spans="1:25" ht="15" thickBot="1" x14ac:dyDescent="0.35">
      <c r="A217" s="28"/>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30"/>
    </row>
    <row r="218" spans="1:25" ht="15" thickBot="1" x14ac:dyDescent="0.35">
      <c r="A218" s="28"/>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30"/>
    </row>
    <row r="219" spans="1:25" ht="15" thickBot="1" x14ac:dyDescent="0.35">
      <c r="A219" s="28"/>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30"/>
    </row>
    <row r="220" spans="1:25" ht="15" thickBot="1" x14ac:dyDescent="0.35">
      <c r="A220" s="28"/>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30"/>
    </row>
    <row r="221" spans="1:25" ht="15" thickBot="1" x14ac:dyDescent="0.35">
      <c r="A221" s="28"/>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30"/>
    </row>
    <row r="222" spans="1:25" ht="15" thickBot="1" x14ac:dyDescent="0.35">
      <c r="A222" s="28"/>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30"/>
    </row>
    <row r="223" spans="1:25" ht="15" thickBot="1" x14ac:dyDescent="0.35">
      <c r="A223" s="28"/>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30"/>
    </row>
    <row r="224" spans="1:25" ht="15" thickBot="1" x14ac:dyDescent="0.35">
      <c r="A224" s="28"/>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30"/>
    </row>
    <row r="225" spans="1:25" ht="15" thickBot="1" x14ac:dyDescent="0.35">
      <c r="A225" s="28"/>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30"/>
    </row>
    <row r="226" spans="1:25" ht="15" thickBot="1" x14ac:dyDescent="0.35">
      <c r="A226" s="28"/>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30"/>
    </row>
    <row r="227" spans="1:25" ht="15" thickBot="1" x14ac:dyDescent="0.35">
      <c r="A227" s="28"/>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30"/>
    </row>
    <row r="228" spans="1:25" ht="15" thickBot="1" x14ac:dyDescent="0.35">
      <c r="A228" s="28"/>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30"/>
    </row>
    <row r="229" spans="1:25" ht="15" thickBot="1" x14ac:dyDescent="0.35">
      <c r="A229" s="28"/>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30"/>
    </row>
    <row r="230" spans="1:25" ht="15" thickBot="1" x14ac:dyDescent="0.35">
      <c r="A230" s="28"/>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30"/>
    </row>
    <row r="231" spans="1:25" ht="15" thickBot="1" x14ac:dyDescent="0.35">
      <c r="A231" s="28"/>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30"/>
    </row>
    <row r="232" spans="1:25" ht="15" thickBot="1" x14ac:dyDescent="0.35">
      <c r="A232" s="28"/>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30"/>
    </row>
    <row r="233" spans="1:25" ht="15" thickBot="1" x14ac:dyDescent="0.35">
      <c r="A233" s="28"/>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30"/>
    </row>
    <row r="234" spans="1:25" ht="15" thickBot="1" x14ac:dyDescent="0.35">
      <c r="A234" s="28"/>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30"/>
    </row>
    <row r="235" spans="1:25" ht="15" thickBot="1" x14ac:dyDescent="0.35">
      <c r="A235" s="28"/>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30"/>
    </row>
    <row r="236" spans="1:25" ht="15" thickBot="1" x14ac:dyDescent="0.35">
      <c r="A236" s="28"/>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30"/>
    </row>
    <row r="237" spans="1:25" ht="15" thickBot="1" x14ac:dyDescent="0.35">
      <c r="A237" s="28"/>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30"/>
    </row>
    <row r="238" spans="1:25" ht="15" thickBot="1" x14ac:dyDescent="0.35">
      <c r="A238" s="28"/>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30"/>
    </row>
    <row r="239" spans="1:25" ht="15" thickBot="1" x14ac:dyDescent="0.35">
      <c r="A239" s="28"/>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30"/>
    </row>
    <row r="240" spans="1:25" ht="15" thickBot="1" x14ac:dyDescent="0.35">
      <c r="A240" s="28"/>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30"/>
    </row>
    <row r="241" spans="1:25" ht="15" thickBot="1" x14ac:dyDescent="0.35">
      <c r="A241" s="28"/>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30"/>
    </row>
    <row r="242" spans="1:25" ht="15" thickBot="1" x14ac:dyDescent="0.35">
      <c r="A242" s="28"/>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30"/>
    </row>
    <row r="243" spans="1:25" ht="15" thickBot="1" x14ac:dyDescent="0.35">
      <c r="A243" s="28"/>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30"/>
    </row>
    <row r="244" spans="1:25" ht="15" thickBot="1" x14ac:dyDescent="0.35">
      <c r="A244" s="28"/>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30"/>
    </row>
    <row r="245" spans="1:25" ht="15" thickBot="1" x14ac:dyDescent="0.35">
      <c r="A245" s="28"/>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30"/>
    </row>
    <row r="246" spans="1:25" ht="15" thickBot="1" x14ac:dyDescent="0.35">
      <c r="A246" s="28"/>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30"/>
    </row>
    <row r="247" spans="1:25" ht="15" thickBot="1" x14ac:dyDescent="0.35">
      <c r="A247" s="28"/>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30"/>
    </row>
    <row r="248" spans="1:25" ht="15" thickBot="1" x14ac:dyDescent="0.35">
      <c r="A248" s="28"/>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30"/>
    </row>
    <row r="249" spans="1:25" ht="15" thickBot="1" x14ac:dyDescent="0.35">
      <c r="A249" s="28"/>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30"/>
    </row>
    <row r="250" spans="1:25" ht="15" thickBot="1" x14ac:dyDescent="0.35">
      <c r="A250" s="28"/>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30"/>
    </row>
    <row r="251" spans="1:25" ht="15" thickBot="1" x14ac:dyDescent="0.35">
      <c r="A251" s="28"/>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30"/>
    </row>
    <row r="252" spans="1:25" ht="15" thickBot="1" x14ac:dyDescent="0.35">
      <c r="A252" s="28"/>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30"/>
    </row>
    <row r="253" spans="1:25" ht="15" thickBot="1" x14ac:dyDescent="0.35">
      <c r="A253" s="28"/>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30"/>
    </row>
    <row r="254" spans="1:25" ht="15" thickBot="1" x14ac:dyDescent="0.35">
      <c r="A254" s="28"/>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30"/>
    </row>
    <row r="255" spans="1:25" ht="15" thickBot="1" x14ac:dyDescent="0.35">
      <c r="A255" s="28"/>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30"/>
    </row>
    <row r="256" spans="1:25" ht="15" thickBot="1" x14ac:dyDescent="0.35">
      <c r="A256" s="28"/>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30"/>
    </row>
    <row r="257" spans="1:25" ht="15" thickBot="1" x14ac:dyDescent="0.35">
      <c r="A257" s="28"/>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30"/>
    </row>
    <row r="258" spans="1:25" ht="15" thickBot="1" x14ac:dyDescent="0.35">
      <c r="A258" s="28"/>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30"/>
    </row>
    <row r="259" spans="1:25" ht="15" thickBot="1" x14ac:dyDescent="0.35">
      <c r="A259" s="28"/>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30"/>
    </row>
    <row r="260" spans="1:25" ht="15" thickBot="1" x14ac:dyDescent="0.35">
      <c r="A260" s="28"/>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30"/>
    </row>
    <row r="261" spans="1:25" ht="15" thickBot="1" x14ac:dyDescent="0.35">
      <c r="A261" s="28"/>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30"/>
    </row>
    <row r="262" spans="1:25" ht="15" thickBot="1" x14ac:dyDescent="0.35">
      <c r="A262" s="28"/>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30"/>
    </row>
    <row r="263" spans="1:25" ht="15" thickBot="1" x14ac:dyDescent="0.35">
      <c r="A263" s="28"/>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30"/>
    </row>
    <row r="264" spans="1:25" ht="15" thickBot="1" x14ac:dyDescent="0.35">
      <c r="A264" s="28"/>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30"/>
    </row>
    <row r="265" spans="1:25" ht="15" thickBot="1" x14ac:dyDescent="0.35">
      <c r="A265" s="28"/>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30"/>
    </row>
    <row r="266" spans="1:25" ht="15" thickBot="1" x14ac:dyDescent="0.35">
      <c r="A266" s="28"/>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30"/>
    </row>
    <row r="267" spans="1:25" ht="15" thickBot="1" x14ac:dyDescent="0.35">
      <c r="A267" s="28"/>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30"/>
    </row>
    <row r="268" spans="1:25" ht="15" thickBot="1" x14ac:dyDescent="0.35">
      <c r="A268" s="28"/>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30"/>
    </row>
    <row r="269" spans="1:25" ht="15" thickBot="1" x14ac:dyDescent="0.35">
      <c r="A269" s="28"/>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30"/>
    </row>
    <row r="270" spans="1:25" ht="15" thickBot="1" x14ac:dyDescent="0.35">
      <c r="A270" s="28"/>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30"/>
    </row>
    <row r="271" spans="1:25" ht="15" thickBot="1" x14ac:dyDescent="0.35">
      <c r="A271" s="28"/>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30"/>
    </row>
    <row r="272" spans="1:25" ht="15" thickBot="1" x14ac:dyDescent="0.35">
      <c r="A272" s="28"/>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30"/>
    </row>
    <row r="273" spans="1:25" ht="15" thickBot="1" x14ac:dyDescent="0.35">
      <c r="A273" s="28"/>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30"/>
    </row>
    <row r="274" spans="1:25" ht="15" thickBot="1" x14ac:dyDescent="0.35">
      <c r="A274" s="28"/>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30"/>
    </row>
    <row r="275" spans="1:25" ht="15" thickBot="1" x14ac:dyDescent="0.35">
      <c r="A275" s="28"/>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30"/>
    </row>
    <row r="276" spans="1:25" ht="15" thickBot="1" x14ac:dyDescent="0.35">
      <c r="A276" s="28"/>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30"/>
    </row>
    <row r="277" spans="1:25" ht="15" thickBot="1" x14ac:dyDescent="0.35">
      <c r="A277" s="28"/>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30"/>
    </row>
    <row r="278" spans="1:25" ht="15" thickBot="1" x14ac:dyDescent="0.35">
      <c r="A278" s="28"/>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30"/>
    </row>
    <row r="279" spans="1:25" ht="15" thickBot="1" x14ac:dyDescent="0.35">
      <c r="A279" s="28"/>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30"/>
    </row>
    <row r="280" spans="1:25" ht="15" thickBot="1" x14ac:dyDescent="0.35">
      <c r="A280" s="28"/>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30"/>
    </row>
    <row r="281" spans="1:25" ht="15" thickBot="1" x14ac:dyDescent="0.35">
      <c r="A281" s="28"/>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30"/>
    </row>
    <row r="282" spans="1:25" ht="15" thickBot="1" x14ac:dyDescent="0.35">
      <c r="A282" s="28"/>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30"/>
    </row>
    <row r="283" spans="1:25" ht="15" thickBot="1" x14ac:dyDescent="0.35">
      <c r="A283" s="28"/>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30"/>
    </row>
    <row r="284" spans="1:25" ht="15" thickBot="1" x14ac:dyDescent="0.35">
      <c r="A284" s="28"/>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30"/>
    </row>
    <row r="285" spans="1:25" ht="15" thickBot="1" x14ac:dyDescent="0.35">
      <c r="A285" s="28"/>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30"/>
    </row>
    <row r="286" spans="1:25" ht="15" thickBot="1" x14ac:dyDescent="0.35">
      <c r="A286" s="28"/>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30"/>
    </row>
    <row r="287" spans="1:25" ht="15" thickBot="1" x14ac:dyDescent="0.35">
      <c r="A287" s="28"/>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30"/>
    </row>
    <row r="288" spans="1:25" ht="15" thickBot="1" x14ac:dyDescent="0.35">
      <c r="A288" s="28"/>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30"/>
    </row>
    <row r="289" spans="1:25" ht="15" thickBot="1" x14ac:dyDescent="0.35">
      <c r="A289" s="28"/>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30"/>
    </row>
    <row r="290" spans="1:25" ht="15" thickBot="1" x14ac:dyDescent="0.35">
      <c r="A290" s="28"/>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30"/>
    </row>
    <row r="291" spans="1:25" ht="15" thickBot="1" x14ac:dyDescent="0.35">
      <c r="A291" s="28"/>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30"/>
    </row>
    <row r="292" spans="1:25" ht="15" thickBot="1" x14ac:dyDescent="0.35">
      <c r="A292" s="28"/>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30"/>
    </row>
    <row r="293" spans="1:25" ht="15" thickBot="1" x14ac:dyDescent="0.35">
      <c r="A293" s="28"/>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30"/>
    </row>
    <row r="294" spans="1:25" ht="15" thickBot="1" x14ac:dyDescent="0.35">
      <c r="A294" s="28"/>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30"/>
    </row>
    <row r="295" spans="1:25" ht="15" thickBot="1" x14ac:dyDescent="0.35">
      <c r="A295" s="28"/>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30"/>
    </row>
    <row r="296" spans="1:25" ht="15" thickBot="1" x14ac:dyDescent="0.35">
      <c r="A296" s="28"/>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30"/>
    </row>
    <row r="297" spans="1:25" ht="15" thickBot="1" x14ac:dyDescent="0.35">
      <c r="A297" s="28"/>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30"/>
    </row>
    <row r="298" spans="1:25" ht="15" thickBot="1" x14ac:dyDescent="0.35">
      <c r="A298" s="28"/>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30"/>
    </row>
    <row r="299" spans="1:25" ht="15" thickBot="1" x14ac:dyDescent="0.35">
      <c r="A299" s="28"/>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30"/>
    </row>
    <row r="300" spans="1:25" ht="15" thickBot="1" x14ac:dyDescent="0.35">
      <c r="A300" s="28"/>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30"/>
    </row>
    <row r="301" spans="1:25" ht="15" thickBot="1" x14ac:dyDescent="0.35">
      <c r="A301" s="28"/>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30"/>
    </row>
    <row r="302" spans="1:25" ht="15" thickBot="1" x14ac:dyDescent="0.35">
      <c r="A302" s="28"/>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30"/>
    </row>
    <row r="303" spans="1:25" ht="15" thickBot="1" x14ac:dyDescent="0.35">
      <c r="A303" s="28"/>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30"/>
    </row>
    <row r="304" spans="1:25" ht="15" thickBot="1" x14ac:dyDescent="0.35">
      <c r="A304" s="28"/>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30"/>
    </row>
    <row r="305" spans="1:25" ht="15" thickBot="1" x14ac:dyDescent="0.35">
      <c r="A305" s="28"/>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30"/>
    </row>
    <row r="306" spans="1:25" ht="15" thickBot="1" x14ac:dyDescent="0.35">
      <c r="A306" s="28"/>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30"/>
    </row>
    <row r="307" spans="1:25" ht="15" thickBot="1" x14ac:dyDescent="0.35">
      <c r="A307" s="28"/>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30"/>
    </row>
    <row r="308" spans="1:25" ht="15" thickBot="1" x14ac:dyDescent="0.35">
      <c r="A308" s="28"/>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30"/>
    </row>
    <row r="309" spans="1:25" ht="15" thickBot="1" x14ac:dyDescent="0.35">
      <c r="A309" s="28"/>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30"/>
    </row>
    <row r="310" spans="1:25" ht="15" thickBot="1" x14ac:dyDescent="0.35">
      <c r="A310" s="28"/>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30"/>
    </row>
    <row r="311" spans="1:25" ht="15" thickBot="1" x14ac:dyDescent="0.35">
      <c r="A311" s="28"/>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30"/>
    </row>
    <row r="312" spans="1:25" ht="15" thickBot="1" x14ac:dyDescent="0.35">
      <c r="A312" s="28"/>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30"/>
    </row>
    <row r="313" spans="1:25" ht="15" thickBot="1" x14ac:dyDescent="0.35">
      <c r="A313" s="28"/>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30"/>
    </row>
    <row r="314" spans="1:25" ht="15" thickBot="1" x14ac:dyDescent="0.35">
      <c r="A314" s="28"/>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30"/>
    </row>
    <row r="315" spans="1:25" ht="15" thickBot="1" x14ac:dyDescent="0.35">
      <c r="A315" s="28"/>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30"/>
    </row>
    <row r="316" spans="1:25" ht="15" thickBot="1" x14ac:dyDescent="0.35">
      <c r="A316" s="28"/>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30"/>
    </row>
    <row r="317" spans="1:25" ht="15" thickBot="1" x14ac:dyDescent="0.35">
      <c r="A317" s="28"/>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30"/>
    </row>
    <row r="318" spans="1:25" ht="15" thickBot="1" x14ac:dyDescent="0.35">
      <c r="A318" s="28"/>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30"/>
    </row>
    <row r="319" spans="1:25" ht="15" thickBot="1" x14ac:dyDescent="0.35">
      <c r="A319" s="28"/>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30"/>
    </row>
    <row r="320" spans="1:25" ht="15" thickBot="1" x14ac:dyDescent="0.35">
      <c r="A320" s="28"/>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30"/>
    </row>
    <row r="321" spans="1:25" ht="15" thickBot="1" x14ac:dyDescent="0.35">
      <c r="A321" s="28"/>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30"/>
    </row>
    <row r="322" spans="1:25" ht="15" thickBot="1" x14ac:dyDescent="0.35">
      <c r="A322" s="28"/>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30"/>
    </row>
    <row r="323" spans="1:25" ht="15" thickBot="1" x14ac:dyDescent="0.35">
      <c r="A323" s="28"/>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30"/>
    </row>
    <row r="324" spans="1:25" ht="15" thickBot="1" x14ac:dyDescent="0.35">
      <c r="A324" s="28"/>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30"/>
    </row>
    <row r="325" spans="1:25" ht="15" thickBot="1" x14ac:dyDescent="0.35">
      <c r="A325" s="28"/>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30"/>
    </row>
    <row r="326" spans="1:25" ht="15" thickBot="1" x14ac:dyDescent="0.35">
      <c r="A326" s="28"/>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30"/>
    </row>
    <row r="327" spans="1:25" ht="15" thickBot="1" x14ac:dyDescent="0.35">
      <c r="A327" s="28"/>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30"/>
    </row>
    <row r="328" spans="1:25" ht="15" thickBot="1" x14ac:dyDescent="0.35">
      <c r="A328" s="28"/>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30"/>
    </row>
    <row r="329" spans="1:25" ht="15" thickBot="1" x14ac:dyDescent="0.35">
      <c r="A329" s="28"/>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30"/>
    </row>
    <row r="330" spans="1:25" ht="15" thickBot="1" x14ac:dyDescent="0.35">
      <c r="A330" s="28"/>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30"/>
    </row>
    <row r="331" spans="1:25" ht="15" thickBot="1" x14ac:dyDescent="0.35">
      <c r="A331" s="28"/>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30"/>
    </row>
    <row r="332" spans="1:25" ht="15" thickBot="1" x14ac:dyDescent="0.35">
      <c r="A332" s="28"/>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30"/>
    </row>
    <row r="333" spans="1:25" ht="15" thickBot="1" x14ac:dyDescent="0.35">
      <c r="A333" s="28"/>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30"/>
    </row>
    <row r="334" spans="1:25" ht="15" thickBot="1" x14ac:dyDescent="0.35">
      <c r="A334" s="28"/>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30"/>
    </row>
    <row r="335" spans="1:25" ht="15" thickBot="1" x14ac:dyDescent="0.35">
      <c r="A335" s="28"/>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30"/>
    </row>
    <row r="336" spans="1:25" ht="15" thickBot="1" x14ac:dyDescent="0.35">
      <c r="A336" s="28"/>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30"/>
    </row>
    <row r="337" spans="1:25" ht="15" thickBot="1" x14ac:dyDescent="0.35">
      <c r="A337" s="28"/>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30"/>
    </row>
    <row r="338" spans="1:25" ht="15" thickBot="1" x14ac:dyDescent="0.35">
      <c r="A338" s="28"/>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30"/>
    </row>
    <row r="339" spans="1:25" ht="15" thickBot="1" x14ac:dyDescent="0.35">
      <c r="A339" s="28"/>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30"/>
    </row>
    <row r="340" spans="1:25" ht="15" thickBot="1" x14ac:dyDescent="0.35">
      <c r="A340" s="28"/>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30"/>
    </row>
    <row r="341" spans="1:25" ht="15" thickBot="1" x14ac:dyDescent="0.35">
      <c r="A341" s="28"/>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30"/>
    </row>
    <row r="342" spans="1:25" ht="15" thickBot="1" x14ac:dyDescent="0.35">
      <c r="A342" s="28"/>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30"/>
    </row>
    <row r="343" spans="1:25" ht="15" thickBot="1" x14ac:dyDescent="0.35">
      <c r="A343" s="28"/>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30"/>
    </row>
    <row r="344" spans="1:25" ht="15" thickBot="1" x14ac:dyDescent="0.35">
      <c r="A344" s="28"/>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30"/>
    </row>
    <row r="345" spans="1:25" ht="15" thickBot="1" x14ac:dyDescent="0.35">
      <c r="A345" s="28"/>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30"/>
    </row>
    <row r="346" spans="1:25" ht="15" thickBot="1" x14ac:dyDescent="0.35">
      <c r="A346" s="28"/>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30"/>
    </row>
    <row r="347" spans="1:25" ht="15" thickBot="1" x14ac:dyDescent="0.35">
      <c r="A347" s="28"/>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30"/>
    </row>
    <row r="348" spans="1:25" ht="15" thickBot="1" x14ac:dyDescent="0.35">
      <c r="A348" s="28"/>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30"/>
    </row>
    <row r="349" spans="1:25" ht="15" thickBot="1" x14ac:dyDescent="0.35">
      <c r="A349" s="28"/>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30"/>
    </row>
    <row r="350" spans="1:25" ht="15" thickBot="1" x14ac:dyDescent="0.35">
      <c r="A350" s="28"/>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30"/>
    </row>
    <row r="351" spans="1:25" ht="15" thickBot="1" x14ac:dyDescent="0.35">
      <c r="A351" s="28"/>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30"/>
    </row>
    <row r="352" spans="1:25" ht="15" thickBot="1" x14ac:dyDescent="0.35">
      <c r="A352" s="28"/>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30"/>
    </row>
    <row r="353" spans="1:25" ht="15" thickBot="1" x14ac:dyDescent="0.35">
      <c r="A353" s="28"/>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30"/>
    </row>
    <row r="354" spans="1:25" ht="15" thickBot="1" x14ac:dyDescent="0.35">
      <c r="A354" s="28"/>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30"/>
    </row>
    <row r="355" spans="1:25" ht="15" thickBot="1" x14ac:dyDescent="0.35">
      <c r="A355" s="28"/>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30"/>
    </row>
    <row r="356" spans="1:25" ht="15" thickBot="1" x14ac:dyDescent="0.35">
      <c r="A356" s="28"/>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30"/>
    </row>
    <row r="357" spans="1:25" ht="15" thickBot="1" x14ac:dyDescent="0.35">
      <c r="A357" s="28"/>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30"/>
    </row>
    <row r="358" spans="1:25" ht="15" thickBot="1" x14ac:dyDescent="0.35">
      <c r="A358" s="28"/>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30"/>
    </row>
    <row r="359" spans="1:25" ht="15" thickBot="1" x14ac:dyDescent="0.35">
      <c r="A359" s="28"/>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30"/>
    </row>
    <row r="360" spans="1:25" ht="15" thickBot="1" x14ac:dyDescent="0.35">
      <c r="A360" s="28"/>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30"/>
    </row>
    <row r="361" spans="1:25" ht="15" thickBot="1" x14ac:dyDescent="0.35">
      <c r="A361" s="28"/>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30"/>
    </row>
    <row r="362" spans="1:25" ht="15" thickBot="1" x14ac:dyDescent="0.35">
      <c r="A362" s="28"/>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30"/>
    </row>
    <row r="363" spans="1:25" ht="15" thickBot="1" x14ac:dyDescent="0.35">
      <c r="A363" s="28"/>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30"/>
    </row>
    <row r="364" spans="1:25" ht="15" thickBot="1" x14ac:dyDescent="0.35">
      <c r="A364" s="28"/>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30"/>
    </row>
    <row r="365" spans="1:25" ht="15" thickBot="1" x14ac:dyDescent="0.35">
      <c r="A365" s="28"/>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30"/>
    </row>
    <row r="366" spans="1:25" ht="15" thickBot="1" x14ac:dyDescent="0.35">
      <c r="A366" s="28"/>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30"/>
    </row>
    <row r="367" spans="1:25" ht="15" thickBot="1" x14ac:dyDescent="0.35">
      <c r="A367" s="28"/>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30"/>
    </row>
    <row r="368" spans="1:25" ht="15" thickBot="1" x14ac:dyDescent="0.35">
      <c r="A368" s="28"/>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30"/>
    </row>
    <row r="369" spans="1:25" ht="15" thickBot="1" x14ac:dyDescent="0.35">
      <c r="A369" s="28"/>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30"/>
    </row>
    <row r="370" spans="1:25" ht="15" thickBot="1" x14ac:dyDescent="0.35">
      <c r="A370" s="28"/>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30"/>
    </row>
    <row r="371" spans="1:25" ht="15" thickBot="1" x14ac:dyDescent="0.35">
      <c r="A371" s="28"/>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30"/>
    </row>
    <row r="372" spans="1:25" ht="15" thickBot="1" x14ac:dyDescent="0.35">
      <c r="A372" s="28"/>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30"/>
    </row>
    <row r="373" spans="1:25" ht="15" thickBot="1" x14ac:dyDescent="0.35">
      <c r="A373" s="28"/>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30"/>
    </row>
    <row r="374" spans="1:25" ht="15" thickBot="1" x14ac:dyDescent="0.35">
      <c r="A374" s="28"/>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30"/>
    </row>
    <row r="375" spans="1:25" ht="15" thickBot="1" x14ac:dyDescent="0.35">
      <c r="A375" s="28"/>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30"/>
    </row>
    <row r="376" spans="1:25" ht="15" thickBot="1" x14ac:dyDescent="0.35">
      <c r="A376" s="28"/>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30"/>
    </row>
    <row r="377" spans="1:25" ht="15" thickBot="1" x14ac:dyDescent="0.35">
      <c r="A377" s="28"/>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30"/>
    </row>
    <row r="378" spans="1:25" ht="15" thickBot="1" x14ac:dyDescent="0.35">
      <c r="A378" s="28"/>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30"/>
    </row>
    <row r="379" spans="1:25" ht="15" thickBot="1" x14ac:dyDescent="0.35">
      <c r="A379" s="28"/>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30"/>
    </row>
    <row r="380" spans="1:25" ht="15" thickBot="1" x14ac:dyDescent="0.35">
      <c r="A380" s="28"/>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30"/>
    </row>
    <row r="381" spans="1:25" ht="15" thickBot="1" x14ac:dyDescent="0.35">
      <c r="A381" s="28"/>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30"/>
    </row>
    <row r="382" spans="1:25" ht="15" thickBot="1" x14ac:dyDescent="0.35">
      <c r="A382" s="28"/>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30"/>
    </row>
    <row r="383" spans="1:25" ht="15" thickBot="1" x14ac:dyDescent="0.35">
      <c r="A383" s="28"/>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30"/>
    </row>
    <row r="384" spans="1:25" ht="15" thickBot="1" x14ac:dyDescent="0.35">
      <c r="A384" s="28"/>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30"/>
    </row>
    <row r="385" spans="1:25" ht="15" thickBot="1" x14ac:dyDescent="0.35">
      <c r="A385" s="28"/>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30"/>
    </row>
    <row r="386" spans="1:25" ht="15" thickBot="1" x14ac:dyDescent="0.35">
      <c r="A386" s="28"/>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30"/>
    </row>
    <row r="387" spans="1:25" ht="15" thickBot="1" x14ac:dyDescent="0.35">
      <c r="A387" s="28"/>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30"/>
    </row>
    <row r="388" spans="1:25" ht="15" thickBot="1" x14ac:dyDescent="0.35">
      <c r="A388" s="28"/>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30"/>
    </row>
    <row r="389" spans="1:25" ht="15" thickBot="1" x14ac:dyDescent="0.35">
      <c r="A389" s="28"/>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30"/>
    </row>
    <row r="390" spans="1:25" ht="15" thickBot="1" x14ac:dyDescent="0.35">
      <c r="A390" s="28"/>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30"/>
    </row>
    <row r="391" spans="1:25" ht="15" thickBot="1" x14ac:dyDescent="0.35">
      <c r="A391" s="28"/>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30"/>
    </row>
    <row r="392" spans="1:25" ht="15" thickBot="1" x14ac:dyDescent="0.35">
      <c r="A392" s="28"/>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30"/>
    </row>
    <row r="393" spans="1:25" ht="15" thickBot="1" x14ac:dyDescent="0.35">
      <c r="A393" s="28"/>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30"/>
    </row>
    <row r="394" spans="1:25" ht="15" thickBot="1" x14ac:dyDescent="0.35">
      <c r="A394" s="28"/>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30"/>
    </row>
    <row r="395" spans="1:25" ht="15" thickBot="1" x14ac:dyDescent="0.35">
      <c r="A395" s="28"/>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30"/>
    </row>
    <row r="396" spans="1:25" ht="15" thickBot="1" x14ac:dyDescent="0.35">
      <c r="A396" s="28"/>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30"/>
    </row>
    <row r="397" spans="1:25" ht="15" thickBot="1" x14ac:dyDescent="0.35">
      <c r="A397" s="28"/>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30"/>
    </row>
    <row r="398" spans="1:25" ht="15" thickBot="1" x14ac:dyDescent="0.35">
      <c r="A398" s="28"/>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30"/>
    </row>
    <row r="399" spans="1:25" ht="15" thickBot="1" x14ac:dyDescent="0.35">
      <c r="A399" s="28"/>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30"/>
    </row>
    <row r="400" spans="1:25" ht="15" thickBot="1" x14ac:dyDescent="0.35">
      <c r="A400" s="28"/>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30"/>
    </row>
    <row r="401" spans="1:25" ht="15" thickBot="1" x14ac:dyDescent="0.35">
      <c r="A401" s="28"/>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30"/>
    </row>
    <row r="402" spans="1:25" ht="15" thickBot="1" x14ac:dyDescent="0.35">
      <c r="A402" s="28"/>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30"/>
    </row>
    <row r="403" spans="1:25" ht="15" thickBot="1" x14ac:dyDescent="0.35">
      <c r="A403" s="28"/>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30"/>
    </row>
    <row r="404" spans="1:25" ht="15" thickBot="1" x14ac:dyDescent="0.35">
      <c r="A404" s="28"/>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30"/>
    </row>
    <row r="405" spans="1:25" ht="15" thickBot="1" x14ac:dyDescent="0.35">
      <c r="A405" s="28"/>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30"/>
    </row>
    <row r="406" spans="1:25" ht="15" thickBot="1" x14ac:dyDescent="0.35">
      <c r="A406" s="28"/>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30"/>
    </row>
    <row r="407" spans="1:25" ht="15" thickBot="1" x14ac:dyDescent="0.35">
      <c r="A407" s="28"/>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30"/>
    </row>
    <row r="408" spans="1:25" ht="15" thickBot="1" x14ac:dyDescent="0.35">
      <c r="A408" s="28"/>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30"/>
    </row>
    <row r="409" spans="1:25" ht="15" thickBot="1" x14ac:dyDescent="0.35">
      <c r="A409" s="28"/>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30"/>
    </row>
    <row r="410" spans="1:25" ht="15" thickBot="1" x14ac:dyDescent="0.35">
      <c r="A410" s="28"/>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30"/>
    </row>
    <row r="411" spans="1:25" ht="15" thickBot="1" x14ac:dyDescent="0.35">
      <c r="A411" s="28"/>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30"/>
    </row>
    <row r="412" spans="1:25" ht="15" thickBot="1" x14ac:dyDescent="0.35">
      <c r="A412" s="28"/>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30"/>
    </row>
    <row r="413" spans="1:25" ht="15" thickBot="1" x14ac:dyDescent="0.35">
      <c r="A413" s="28"/>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30"/>
    </row>
    <row r="414" spans="1:25" ht="15" thickBot="1" x14ac:dyDescent="0.35">
      <c r="A414" s="28"/>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30"/>
    </row>
    <row r="415" spans="1:25" ht="15" thickBot="1" x14ac:dyDescent="0.35">
      <c r="A415" s="28"/>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30"/>
    </row>
    <row r="416" spans="1:25" ht="15" thickBot="1" x14ac:dyDescent="0.35">
      <c r="A416" s="28"/>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30"/>
    </row>
    <row r="417" spans="1:25" ht="15" thickBot="1" x14ac:dyDescent="0.35">
      <c r="A417" s="28"/>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30"/>
    </row>
    <row r="418" spans="1:25" ht="15" thickBot="1" x14ac:dyDescent="0.35">
      <c r="A418" s="28"/>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30"/>
    </row>
    <row r="419" spans="1:25" ht="15" thickBot="1" x14ac:dyDescent="0.35">
      <c r="A419" s="28"/>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30"/>
    </row>
    <row r="420" spans="1:25" ht="15" thickBot="1" x14ac:dyDescent="0.35">
      <c r="A420" s="28"/>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30"/>
    </row>
    <row r="421" spans="1:25" ht="15" thickBot="1" x14ac:dyDescent="0.35">
      <c r="A421" s="28"/>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30"/>
    </row>
    <row r="422" spans="1:25" ht="15" thickBot="1" x14ac:dyDescent="0.35">
      <c r="A422" s="28"/>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30"/>
    </row>
    <row r="423" spans="1:25" ht="15" thickBot="1" x14ac:dyDescent="0.35">
      <c r="A423" s="28"/>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30"/>
    </row>
    <row r="424" spans="1:25" ht="15" thickBot="1" x14ac:dyDescent="0.35">
      <c r="A424" s="28"/>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30"/>
    </row>
    <row r="425" spans="1:25" ht="15" thickBot="1" x14ac:dyDescent="0.35">
      <c r="A425" s="28"/>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30"/>
    </row>
    <row r="426" spans="1:25" ht="15" thickBot="1" x14ac:dyDescent="0.35">
      <c r="A426" s="28"/>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30"/>
    </row>
    <row r="427" spans="1:25" ht="15" thickBot="1" x14ac:dyDescent="0.35">
      <c r="A427" s="28"/>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30"/>
    </row>
    <row r="428" spans="1:25" ht="15" thickBot="1" x14ac:dyDescent="0.35">
      <c r="A428" s="28"/>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30"/>
    </row>
    <row r="429" spans="1:25" ht="15" thickBot="1" x14ac:dyDescent="0.35">
      <c r="A429" s="28"/>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30"/>
    </row>
    <row r="430" spans="1:25" ht="15" thickBot="1" x14ac:dyDescent="0.35">
      <c r="A430" s="28"/>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30"/>
    </row>
    <row r="431" spans="1:25" ht="15" thickBot="1" x14ac:dyDescent="0.35">
      <c r="A431" s="28"/>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30"/>
    </row>
    <row r="432" spans="1:25" ht="15" thickBot="1" x14ac:dyDescent="0.35">
      <c r="A432" s="28"/>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30"/>
    </row>
    <row r="433" spans="1:25" ht="15" thickBot="1" x14ac:dyDescent="0.35">
      <c r="A433" s="28"/>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30"/>
    </row>
    <row r="434" spans="1:25" ht="15" thickBot="1" x14ac:dyDescent="0.35">
      <c r="A434" s="28"/>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30"/>
    </row>
    <row r="435" spans="1:25" ht="15" thickBot="1" x14ac:dyDescent="0.35">
      <c r="A435" s="28"/>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30"/>
    </row>
    <row r="436" spans="1:25" ht="15" thickBot="1" x14ac:dyDescent="0.35">
      <c r="A436" s="28"/>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30"/>
    </row>
    <row r="437" spans="1:25" ht="15" thickBot="1" x14ac:dyDescent="0.35">
      <c r="A437" s="28"/>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30"/>
    </row>
    <row r="438" spans="1:25" ht="15" thickBot="1" x14ac:dyDescent="0.35">
      <c r="A438" s="28"/>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30"/>
    </row>
    <row r="439" spans="1:25" ht="15" thickBot="1" x14ac:dyDescent="0.35">
      <c r="A439" s="28"/>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30"/>
    </row>
    <row r="440" spans="1:25" ht="15" thickBot="1" x14ac:dyDescent="0.35">
      <c r="A440" s="28"/>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30"/>
    </row>
    <row r="441" spans="1:25" ht="15" thickBot="1" x14ac:dyDescent="0.35">
      <c r="A441" s="28"/>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30"/>
    </row>
    <row r="442" spans="1:25" ht="15" thickBot="1" x14ac:dyDescent="0.35">
      <c r="A442" s="28"/>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30"/>
    </row>
    <row r="443" spans="1:25" ht="15" thickBot="1" x14ac:dyDescent="0.35">
      <c r="A443" s="28"/>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30"/>
    </row>
    <row r="444" spans="1:25" ht="15" thickBot="1" x14ac:dyDescent="0.35">
      <c r="A444" s="28"/>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30"/>
    </row>
    <row r="445" spans="1:25" ht="15" thickBot="1" x14ac:dyDescent="0.35">
      <c r="A445" s="28"/>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30"/>
    </row>
    <row r="446" spans="1:25" ht="15" thickBot="1" x14ac:dyDescent="0.35">
      <c r="A446" s="28"/>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30"/>
    </row>
    <row r="447" spans="1:25" ht="15" thickBot="1" x14ac:dyDescent="0.35">
      <c r="A447" s="28"/>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30"/>
    </row>
    <row r="448" spans="1:25" ht="15" thickBot="1" x14ac:dyDescent="0.35">
      <c r="A448" s="28"/>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30"/>
    </row>
    <row r="449" spans="1:25" ht="15" thickBot="1" x14ac:dyDescent="0.35">
      <c r="A449" s="28"/>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30"/>
    </row>
    <row r="450" spans="1:25" ht="15" thickBot="1" x14ac:dyDescent="0.35">
      <c r="A450" s="28"/>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30"/>
    </row>
    <row r="451" spans="1:25" ht="15" thickBot="1" x14ac:dyDescent="0.35">
      <c r="A451" s="28"/>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30"/>
    </row>
    <row r="452" spans="1:25" ht="15" thickBot="1" x14ac:dyDescent="0.35">
      <c r="A452" s="28"/>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30"/>
    </row>
    <row r="453" spans="1:25" ht="15" thickBot="1" x14ac:dyDescent="0.35">
      <c r="A453" s="28"/>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30"/>
    </row>
    <row r="454" spans="1:25" ht="15" thickBot="1" x14ac:dyDescent="0.35">
      <c r="A454" s="28"/>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30"/>
    </row>
    <row r="455" spans="1:25" ht="15" thickBot="1" x14ac:dyDescent="0.35">
      <c r="A455" s="28"/>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30"/>
    </row>
    <row r="456" spans="1:25" ht="15" thickBot="1" x14ac:dyDescent="0.35">
      <c r="A456" s="28"/>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30"/>
    </row>
    <row r="457" spans="1:25" ht="15" thickBot="1" x14ac:dyDescent="0.35">
      <c r="A457" s="28"/>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30"/>
    </row>
    <row r="458" spans="1:25" ht="15" thickBot="1" x14ac:dyDescent="0.35">
      <c r="A458" s="28"/>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30"/>
    </row>
    <row r="459" spans="1:25" ht="15" thickBot="1" x14ac:dyDescent="0.35">
      <c r="A459" s="28"/>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30"/>
    </row>
    <row r="460" spans="1:25" ht="15" thickBot="1" x14ac:dyDescent="0.35">
      <c r="A460" s="28"/>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30"/>
    </row>
    <row r="461" spans="1:25" ht="15" thickBot="1" x14ac:dyDescent="0.35">
      <c r="A461" s="28"/>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30"/>
    </row>
    <row r="462" spans="1:25" ht="15" thickBot="1" x14ac:dyDescent="0.35">
      <c r="A462" s="28"/>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30"/>
    </row>
    <row r="463" spans="1:25" ht="15" thickBot="1" x14ac:dyDescent="0.35">
      <c r="A463" s="28"/>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30"/>
    </row>
    <row r="464" spans="1:25" ht="15" thickBot="1" x14ac:dyDescent="0.35">
      <c r="A464" s="28"/>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30"/>
    </row>
    <row r="465" spans="1:25" ht="15" thickBot="1" x14ac:dyDescent="0.35">
      <c r="A465" s="28"/>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30"/>
    </row>
    <row r="466" spans="1:25" ht="15" thickBot="1" x14ac:dyDescent="0.35">
      <c r="A466" s="28"/>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30"/>
    </row>
    <row r="467" spans="1:25" ht="15" thickBot="1" x14ac:dyDescent="0.35">
      <c r="A467" s="28"/>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30"/>
    </row>
    <row r="468" spans="1:25" ht="15" thickBot="1" x14ac:dyDescent="0.35">
      <c r="A468" s="28"/>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30"/>
    </row>
    <row r="469" spans="1:25" ht="15" thickBot="1" x14ac:dyDescent="0.35">
      <c r="A469" s="28"/>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30"/>
    </row>
    <row r="470" spans="1:25" ht="15" thickBot="1" x14ac:dyDescent="0.35">
      <c r="A470" s="28"/>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30"/>
    </row>
    <row r="471" spans="1:25" ht="15" thickBot="1" x14ac:dyDescent="0.35">
      <c r="A471" s="28"/>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30"/>
    </row>
    <row r="472" spans="1:25" ht="15" thickBot="1" x14ac:dyDescent="0.35">
      <c r="A472" s="28"/>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30"/>
    </row>
    <row r="473" spans="1:25" ht="15" thickBot="1" x14ac:dyDescent="0.35">
      <c r="A473" s="28"/>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30"/>
    </row>
    <row r="474" spans="1:25" ht="15" thickBot="1" x14ac:dyDescent="0.35">
      <c r="A474" s="28"/>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30"/>
    </row>
    <row r="475" spans="1:25" ht="15" thickBot="1" x14ac:dyDescent="0.35">
      <c r="A475" s="28"/>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30"/>
    </row>
    <row r="476" spans="1:25" ht="15" thickBot="1" x14ac:dyDescent="0.35">
      <c r="A476" s="28"/>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30"/>
    </row>
    <row r="477" spans="1:25" ht="15" thickBot="1" x14ac:dyDescent="0.35">
      <c r="A477" s="28"/>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30"/>
    </row>
    <row r="478" spans="1:25" ht="15" thickBot="1" x14ac:dyDescent="0.35">
      <c r="A478" s="28"/>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30"/>
    </row>
    <row r="479" spans="1:25" ht="15" thickBot="1" x14ac:dyDescent="0.35">
      <c r="A479" s="28"/>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30"/>
    </row>
    <row r="480" spans="1:25" ht="15" thickBot="1" x14ac:dyDescent="0.35">
      <c r="A480" s="28"/>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30"/>
    </row>
    <row r="481" spans="1:25" ht="15" thickBot="1" x14ac:dyDescent="0.35">
      <c r="A481" s="28"/>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30"/>
    </row>
    <row r="482" spans="1:25" ht="15" thickBot="1" x14ac:dyDescent="0.35">
      <c r="A482" s="28"/>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30"/>
    </row>
    <row r="483" spans="1:25" ht="15" thickBot="1" x14ac:dyDescent="0.35">
      <c r="A483" s="28"/>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30"/>
    </row>
    <row r="484" spans="1:25" ht="15" thickBot="1" x14ac:dyDescent="0.35">
      <c r="A484" s="28"/>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30"/>
    </row>
    <row r="485" spans="1:25" ht="15" thickBot="1" x14ac:dyDescent="0.35">
      <c r="A485" s="28"/>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30"/>
    </row>
    <row r="486" spans="1:25" ht="15" thickBot="1" x14ac:dyDescent="0.35">
      <c r="A486" s="28"/>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30"/>
    </row>
    <row r="487" spans="1:25" ht="15" thickBot="1" x14ac:dyDescent="0.35">
      <c r="A487" s="28"/>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30"/>
    </row>
    <row r="488" spans="1:25" ht="15" thickBot="1" x14ac:dyDescent="0.35">
      <c r="A488" s="28"/>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30"/>
    </row>
    <row r="489" spans="1:25" ht="15" thickBot="1" x14ac:dyDescent="0.35">
      <c r="A489" s="28"/>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30"/>
    </row>
    <row r="490" spans="1:25" ht="15" thickBot="1" x14ac:dyDescent="0.35">
      <c r="A490" s="28"/>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30"/>
    </row>
    <row r="491" spans="1:25" ht="15" thickBot="1" x14ac:dyDescent="0.35">
      <c r="A491" s="28"/>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30"/>
    </row>
    <row r="492" spans="1:25" ht="15" thickBot="1" x14ac:dyDescent="0.35">
      <c r="A492" s="28"/>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30"/>
    </row>
    <row r="493" spans="1:25" ht="15" thickBot="1" x14ac:dyDescent="0.35">
      <c r="A493" s="28"/>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30"/>
    </row>
    <row r="494" spans="1:25" ht="15" thickBot="1" x14ac:dyDescent="0.35">
      <c r="A494" s="28"/>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30"/>
    </row>
    <row r="495" spans="1:25" ht="15" thickBot="1" x14ac:dyDescent="0.35">
      <c r="A495" s="28"/>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30"/>
    </row>
    <row r="496" spans="1:25" ht="15" thickBot="1" x14ac:dyDescent="0.35">
      <c r="A496" s="28"/>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30"/>
    </row>
    <row r="497" spans="1:25" ht="15" thickBot="1" x14ac:dyDescent="0.35">
      <c r="A497" s="28"/>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30"/>
    </row>
    <row r="498" spans="1:25" ht="15" thickBot="1" x14ac:dyDescent="0.35">
      <c r="A498" s="28"/>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30"/>
    </row>
    <row r="499" spans="1:25" ht="15" thickBot="1" x14ac:dyDescent="0.35">
      <c r="A499" s="28"/>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30"/>
    </row>
    <row r="500" spans="1:25" ht="15" thickBot="1" x14ac:dyDescent="0.35">
      <c r="A500" s="28"/>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30"/>
    </row>
    <row r="501" spans="1:25" ht="15" thickBot="1" x14ac:dyDescent="0.35">
      <c r="A501" s="28"/>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30"/>
    </row>
    <row r="502" spans="1:25" ht="15" thickBot="1" x14ac:dyDescent="0.35">
      <c r="A502" s="28"/>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30"/>
    </row>
    <row r="503" spans="1:25" ht="15" thickBot="1" x14ac:dyDescent="0.35">
      <c r="A503" s="28"/>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30"/>
    </row>
    <row r="504" spans="1:25" ht="15" thickBot="1" x14ac:dyDescent="0.35">
      <c r="A504" s="28"/>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30"/>
    </row>
    <row r="505" spans="1:25" ht="15" thickBot="1" x14ac:dyDescent="0.35">
      <c r="A505" s="28"/>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30"/>
    </row>
    <row r="506" spans="1:25" ht="15" thickBot="1" x14ac:dyDescent="0.35">
      <c r="A506" s="28"/>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30"/>
    </row>
    <row r="507" spans="1:25" ht="15" thickBot="1" x14ac:dyDescent="0.35">
      <c r="A507" s="28"/>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30"/>
    </row>
    <row r="508" spans="1:25" ht="15" thickBot="1" x14ac:dyDescent="0.35">
      <c r="A508" s="28"/>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30"/>
    </row>
    <row r="509" spans="1:25" ht="15" thickBot="1" x14ac:dyDescent="0.35">
      <c r="A509" s="28"/>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30"/>
    </row>
    <row r="510" spans="1:25" ht="15" thickBot="1" x14ac:dyDescent="0.35">
      <c r="A510" s="28"/>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30"/>
    </row>
    <row r="511" spans="1:25" ht="15" thickBot="1" x14ac:dyDescent="0.35">
      <c r="A511" s="28"/>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30"/>
    </row>
    <row r="512" spans="1:25" ht="15" thickBot="1" x14ac:dyDescent="0.35">
      <c r="A512" s="28"/>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30"/>
    </row>
    <row r="513" spans="1:25" ht="15" thickBot="1" x14ac:dyDescent="0.35">
      <c r="A513" s="28"/>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30"/>
    </row>
    <row r="514" spans="1:25" ht="15" thickBot="1" x14ac:dyDescent="0.35">
      <c r="A514" s="28"/>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30"/>
    </row>
    <row r="515" spans="1:25" ht="15" thickBot="1" x14ac:dyDescent="0.35">
      <c r="A515" s="28"/>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30"/>
    </row>
    <row r="516" spans="1:25" ht="15" thickBot="1" x14ac:dyDescent="0.35">
      <c r="A516" s="28"/>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30"/>
    </row>
    <row r="517" spans="1:25" ht="15" thickBot="1" x14ac:dyDescent="0.35">
      <c r="A517" s="28"/>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30"/>
    </row>
    <row r="518" spans="1:25" ht="15" thickBot="1" x14ac:dyDescent="0.35">
      <c r="A518" s="28"/>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30"/>
    </row>
    <row r="519" spans="1:25" ht="15" thickBot="1" x14ac:dyDescent="0.35">
      <c r="A519" s="28"/>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30"/>
    </row>
    <row r="520" spans="1:25" ht="15" thickBot="1" x14ac:dyDescent="0.35">
      <c r="A520" s="28"/>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30"/>
    </row>
    <row r="521" spans="1:25" ht="15" thickBot="1" x14ac:dyDescent="0.35">
      <c r="A521" s="28"/>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30"/>
    </row>
    <row r="522" spans="1:25" ht="15" thickBot="1" x14ac:dyDescent="0.35">
      <c r="A522" s="28"/>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30"/>
    </row>
    <row r="523" spans="1:25" ht="15" thickBot="1" x14ac:dyDescent="0.35">
      <c r="A523" s="28"/>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30"/>
    </row>
    <row r="524" spans="1:25" ht="15" thickBot="1" x14ac:dyDescent="0.35">
      <c r="A524" s="28"/>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30"/>
    </row>
    <row r="525" spans="1:25" ht="15" thickBot="1" x14ac:dyDescent="0.35">
      <c r="A525" s="28"/>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30"/>
    </row>
    <row r="526" spans="1:25" ht="15" thickBot="1" x14ac:dyDescent="0.35">
      <c r="A526" s="28"/>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30"/>
    </row>
    <row r="527" spans="1:25" ht="15" thickBot="1" x14ac:dyDescent="0.35">
      <c r="A527" s="28"/>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30"/>
    </row>
    <row r="528" spans="1:25" ht="15" thickBot="1" x14ac:dyDescent="0.35">
      <c r="A528" s="28"/>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30"/>
    </row>
    <row r="529" spans="1:25" ht="15" thickBot="1" x14ac:dyDescent="0.35">
      <c r="A529" s="28"/>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30"/>
    </row>
    <row r="530" spans="1:25" ht="15" thickBot="1" x14ac:dyDescent="0.35">
      <c r="A530" s="28"/>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30"/>
    </row>
    <row r="531" spans="1:25" ht="15" thickBot="1" x14ac:dyDescent="0.35">
      <c r="A531" s="28"/>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30"/>
    </row>
    <row r="532" spans="1:25" ht="15" thickBot="1" x14ac:dyDescent="0.35">
      <c r="A532" s="28"/>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30"/>
    </row>
    <row r="533" spans="1:25" ht="15" thickBot="1" x14ac:dyDescent="0.35">
      <c r="A533" s="28"/>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30"/>
    </row>
    <row r="534" spans="1:25" ht="15" thickBot="1" x14ac:dyDescent="0.35">
      <c r="A534" s="28"/>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30"/>
    </row>
    <row r="535" spans="1:25" ht="15" thickBot="1" x14ac:dyDescent="0.35">
      <c r="A535" s="28"/>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30"/>
    </row>
    <row r="536" spans="1:25" ht="15" thickBot="1" x14ac:dyDescent="0.35">
      <c r="A536" s="28"/>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30"/>
    </row>
    <row r="537" spans="1:25" ht="15" thickBot="1" x14ac:dyDescent="0.35">
      <c r="A537" s="28"/>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30"/>
    </row>
    <row r="538" spans="1:25" ht="15" thickBot="1" x14ac:dyDescent="0.35">
      <c r="A538" s="28"/>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30"/>
    </row>
    <row r="539" spans="1:25" ht="15" thickBot="1" x14ac:dyDescent="0.35">
      <c r="A539" s="28"/>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30"/>
    </row>
    <row r="540" spans="1:25" ht="15" thickBot="1" x14ac:dyDescent="0.35">
      <c r="A540" s="28"/>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30"/>
    </row>
    <row r="541" spans="1:25" ht="15" thickBot="1" x14ac:dyDescent="0.35">
      <c r="A541" s="28"/>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30"/>
    </row>
    <row r="542" spans="1:25" ht="15" thickBot="1" x14ac:dyDescent="0.35">
      <c r="A542" s="28"/>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30"/>
    </row>
    <row r="543" spans="1:25" ht="15" thickBot="1" x14ac:dyDescent="0.35">
      <c r="A543" s="28"/>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30"/>
    </row>
    <row r="544" spans="1:25" ht="15" thickBot="1" x14ac:dyDescent="0.35">
      <c r="A544" s="28"/>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30"/>
    </row>
    <row r="545" spans="1:25" ht="15" thickBot="1" x14ac:dyDescent="0.35">
      <c r="A545" s="28"/>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30"/>
    </row>
    <row r="546" spans="1:25" ht="15" thickBot="1" x14ac:dyDescent="0.35">
      <c r="A546" s="28"/>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30"/>
    </row>
    <row r="547" spans="1:25" ht="15" thickBot="1" x14ac:dyDescent="0.35">
      <c r="A547" s="28"/>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30"/>
    </row>
    <row r="548" spans="1:25" ht="15" thickBot="1" x14ac:dyDescent="0.35">
      <c r="A548" s="28"/>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30"/>
    </row>
    <row r="549" spans="1:25" ht="15" thickBot="1" x14ac:dyDescent="0.35">
      <c r="A549" s="28"/>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30"/>
    </row>
    <row r="550" spans="1:25" ht="15" thickBot="1" x14ac:dyDescent="0.35">
      <c r="A550" s="28"/>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30"/>
    </row>
    <row r="551" spans="1:25" ht="15" thickBot="1" x14ac:dyDescent="0.35">
      <c r="A551" s="28"/>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30"/>
    </row>
    <row r="552" spans="1:25" ht="15" thickBot="1" x14ac:dyDescent="0.35">
      <c r="A552" s="28"/>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30"/>
    </row>
    <row r="553" spans="1:25" ht="15" thickBot="1" x14ac:dyDescent="0.35">
      <c r="A553" s="28"/>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30"/>
    </row>
    <row r="554" spans="1:25" ht="15" thickBot="1" x14ac:dyDescent="0.35">
      <c r="A554" s="28"/>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30"/>
    </row>
    <row r="555" spans="1:25" ht="15" thickBot="1" x14ac:dyDescent="0.35">
      <c r="A555" s="28"/>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30"/>
    </row>
    <row r="556" spans="1:25" ht="15" thickBot="1" x14ac:dyDescent="0.35">
      <c r="A556" s="28"/>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30"/>
    </row>
    <row r="557" spans="1:25" ht="15" thickBot="1" x14ac:dyDescent="0.35">
      <c r="A557" s="28"/>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30"/>
    </row>
    <row r="558" spans="1:25" ht="15" thickBot="1" x14ac:dyDescent="0.35">
      <c r="A558" s="28"/>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30"/>
    </row>
    <row r="559" spans="1:25" ht="15" thickBot="1" x14ac:dyDescent="0.35">
      <c r="A559" s="28"/>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30"/>
    </row>
    <row r="560" spans="1:25" ht="15" thickBot="1" x14ac:dyDescent="0.35">
      <c r="A560" s="28"/>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30"/>
    </row>
    <row r="561" spans="1:25" ht="15" thickBot="1" x14ac:dyDescent="0.35">
      <c r="A561" s="28"/>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30"/>
    </row>
    <row r="562" spans="1:25" ht="15" thickBot="1" x14ac:dyDescent="0.35">
      <c r="A562" s="28"/>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30"/>
    </row>
    <row r="563" spans="1:25" ht="15" thickBot="1" x14ac:dyDescent="0.35">
      <c r="A563" s="28"/>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30"/>
    </row>
    <row r="564" spans="1:25" ht="15" thickBot="1" x14ac:dyDescent="0.35">
      <c r="A564" s="28"/>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30"/>
    </row>
    <row r="565" spans="1:25" ht="15" thickBot="1" x14ac:dyDescent="0.35">
      <c r="A565" s="28"/>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30"/>
    </row>
    <row r="566" spans="1:25" ht="15" thickBot="1" x14ac:dyDescent="0.35">
      <c r="A566" s="28"/>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30"/>
    </row>
    <row r="567" spans="1:25" ht="15" thickBot="1" x14ac:dyDescent="0.35">
      <c r="A567" s="28"/>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30"/>
    </row>
    <row r="568" spans="1:25" ht="15" thickBot="1" x14ac:dyDescent="0.35">
      <c r="A568" s="28"/>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30"/>
    </row>
    <row r="569" spans="1:25" ht="15" thickBot="1" x14ac:dyDescent="0.35">
      <c r="A569" s="28"/>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30"/>
    </row>
    <row r="570" spans="1:25" ht="15" thickBot="1" x14ac:dyDescent="0.35">
      <c r="A570" s="28"/>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30"/>
    </row>
    <row r="571" spans="1:25" ht="15" thickBot="1" x14ac:dyDescent="0.35">
      <c r="A571" s="28"/>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30"/>
    </row>
    <row r="572" spans="1:25" ht="15" thickBot="1" x14ac:dyDescent="0.35">
      <c r="A572" s="28"/>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30"/>
    </row>
    <row r="573" spans="1:25" ht="15" thickBot="1" x14ac:dyDescent="0.35">
      <c r="A573" s="28"/>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30"/>
    </row>
    <row r="574" spans="1:25" ht="15" thickBot="1" x14ac:dyDescent="0.35">
      <c r="A574" s="28"/>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30"/>
    </row>
    <row r="575" spans="1:25" ht="15" thickBot="1" x14ac:dyDescent="0.35">
      <c r="A575" s="28"/>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30"/>
    </row>
    <row r="576" spans="1:25" ht="15" thickBot="1" x14ac:dyDescent="0.35">
      <c r="A576" s="28"/>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30"/>
    </row>
    <row r="577" spans="1:25" ht="15" thickBot="1" x14ac:dyDescent="0.35">
      <c r="A577" s="28"/>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30"/>
    </row>
    <row r="578" spans="1:25" ht="15" thickBot="1" x14ac:dyDescent="0.35">
      <c r="A578" s="28"/>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30"/>
    </row>
    <row r="579" spans="1:25" ht="15" thickBot="1" x14ac:dyDescent="0.35">
      <c r="A579" s="28"/>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30"/>
    </row>
    <row r="580" spans="1:25" ht="15" thickBot="1" x14ac:dyDescent="0.35">
      <c r="A580" s="28"/>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30"/>
    </row>
    <row r="581" spans="1:25" ht="15" thickBot="1" x14ac:dyDescent="0.35">
      <c r="A581" s="28"/>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30"/>
    </row>
    <row r="582" spans="1:25" ht="15" thickBot="1" x14ac:dyDescent="0.35">
      <c r="A582" s="28"/>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30"/>
    </row>
    <row r="583" spans="1:25" ht="15" thickBot="1" x14ac:dyDescent="0.35">
      <c r="A583" s="28"/>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30"/>
    </row>
    <row r="584" spans="1:25" ht="15" thickBot="1" x14ac:dyDescent="0.35">
      <c r="A584" s="28"/>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30"/>
    </row>
    <row r="585" spans="1:25" ht="15" thickBot="1" x14ac:dyDescent="0.35">
      <c r="A585" s="28"/>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30"/>
    </row>
    <row r="586" spans="1:25" ht="15" thickBot="1" x14ac:dyDescent="0.35">
      <c r="A586" s="28"/>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30"/>
    </row>
    <row r="587" spans="1:25" ht="15" thickBot="1" x14ac:dyDescent="0.35">
      <c r="A587" s="28"/>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30"/>
    </row>
    <row r="588" spans="1:25" ht="15" thickBot="1" x14ac:dyDescent="0.35">
      <c r="A588" s="28"/>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30"/>
    </row>
    <row r="589" spans="1:25" ht="15" thickBot="1" x14ac:dyDescent="0.35">
      <c r="A589" s="28"/>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30"/>
    </row>
    <row r="590" spans="1:25" ht="15" thickBot="1" x14ac:dyDescent="0.35">
      <c r="A590" s="28"/>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30"/>
    </row>
    <row r="591" spans="1:25" ht="15" thickBot="1" x14ac:dyDescent="0.35">
      <c r="A591" s="28"/>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30"/>
    </row>
    <row r="592" spans="1:25" ht="15" thickBot="1" x14ac:dyDescent="0.35">
      <c r="A592" s="28"/>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30"/>
    </row>
    <row r="593" spans="1:25" ht="15" thickBot="1" x14ac:dyDescent="0.35">
      <c r="A593" s="28"/>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30"/>
    </row>
    <row r="594" spans="1:25" ht="15" thickBot="1" x14ac:dyDescent="0.35">
      <c r="A594" s="28"/>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30"/>
    </row>
    <row r="595" spans="1:25" ht="15" thickBot="1" x14ac:dyDescent="0.35">
      <c r="A595" s="28"/>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30"/>
    </row>
    <row r="596" spans="1:25" ht="15" thickBot="1" x14ac:dyDescent="0.35">
      <c r="A596" s="28"/>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30"/>
    </row>
    <row r="597" spans="1:25" ht="15" thickBot="1" x14ac:dyDescent="0.35">
      <c r="A597" s="28"/>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30"/>
    </row>
    <row r="598" spans="1:25" ht="15" thickBot="1" x14ac:dyDescent="0.35">
      <c r="A598" s="28"/>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30"/>
    </row>
    <row r="599" spans="1:25" ht="15" thickBot="1" x14ac:dyDescent="0.35">
      <c r="A599" s="28"/>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30"/>
    </row>
    <row r="600" spans="1:25" ht="15" thickBot="1" x14ac:dyDescent="0.35">
      <c r="A600" s="28"/>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30"/>
    </row>
    <row r="601" spans="1:25" ht="15" thickBot="1" x14ac:dyDescent="0.35">
      <c r="A601" s="28"/>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30"/>
    </row>
    <row r="602" spans="1:25" ht="15" thickBot="1" x14ac:dyDescent="0.35">
      <c r="A602" s="28"/>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30"/>
    </row>
    <row r="603" spans="1:25" ht="15" thickBot="1" x14ac:dyDescent="0.35">
      <c r="A603" s="28"/>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30"/>
    </row>
    <row r="604" spans="1:25" ht="15" thickBot="1" x14ac:dyDescent="0.35">
      <c r="A604" s="28"/>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30"/>
    </row>
    <row r="605" spans="1:25" ht="15" thickBot="1" x14ac:dyDescent="0.35">
      <c r="A605" s="28"/>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30"/>
    </row>
    <row r="606" spans="1:25" ht="15" thickBot="1" x14ac:dyDescent="0.35">
      <c r="A606" s="28"/>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30"/>
    </row>
    <row r="607" spans="1:25" ht="15" thickBot="1" x14ac:dyDescent="0.35">
      <c r="A607" s="28"/>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30"/>
    </row>
    <row r="608" spans="1:25" ht="15" thickBot="1" x14ac:dyDescent="0.35">
      <c r="A608" s="28"/>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30"/>
    </row>
    <row r="609" spans="1:25" ht="15" thickBot="1" x14ac:dyDescent="0.35">
      <c r="A609" s="28"/>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30"/>
    </row>
    <row r="610" spans="1:25" ht="15" thickBot="1" x14ac:dyDescent="0.35">
      <c r="A610" s="28"/>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30"/>
    </row>
    <row r="611" spans="1:25" ht="15" thickBot="1" x14ac:dyDescent="0.35">
      <c r="A611" s="28"/>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30"/>
    </row>
    <row r="612" spans="1:25" ht="15" thickBot="1" x14ac:dyDescent="0.35">
      <c r="A612" s="28"/>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30"/>
    </row>
    <row r="613" spans="1:25" ht="15" thickBot="1" x14ac:dyDescent="0.35">
      <c r="A613" s="28"/>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30"/>
    </row>
    <row r="614" spans="1:25" ht="15" thickBot="1" x14ac:dyDescent="0.35">
      <c r="A614" s="28"/>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30"/>
    </row>
    <row r="615" spans="1:25" ht="15" thickBot="1" x14ac:dyDescent="0.35">
      <c r="A615" s="28"/>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30"/>
    </row>
    <row r="616" spans="1:25" ht="15" thickBot="1" x14ac:dyDescent="0.35">
      <c r="A616" s="28"/>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30"/>
    </row>
    <row r="617" spans="1:25" ht="15" thickBot="1" x14ac:dyDescent="0.35">
      <c r="A617" s="28"/>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30"/>
    </row>
    <row r="618" spans="1:25" ht="15" thickBot="1" x14ac:dyDescent="0.35">
      <c r="A618" s="28"/>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30"/>
    </row>
    <row r="619" spans="1:25" ht="15" thickBot="1" x14ac:dyDescent="0.35">
      <c r="A619" s="28"/>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30"/>
    </row>
    <row r="620" spans="1:25" ht="15" thickBot="1" x14ac:dyDescent="0.35">
      <c r="A620" s="28"/>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30"/>
    </row>
    <row r="621" spans="1:25" ht="15" thickBot="1" x14ac:dyDescent="0.35">
      <c r="A621" s="28"/>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30"/>
    </row>
    <row r="622" spans="1:25" ht="15" thickBot="1" x14ac:dyDescent="0.35">
      <c r="A622" s="28"/>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30"/>
    </row>
    <row r="623" spans="1:25" ht="15" thickBot="1" x14ac:dyDescent="0.35">
      <c r="A623" s="28"/>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30"/>
    </row>
    <row r="624" spans="1:25" ht="15" thickBot="1" x14ac:dyDescent="0.35">
      <c r="A624" s="28"/>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30"/>
    </row>
    <row r="625" spans="1:25" ht="15" thickBot="1" x14ac:dyDescent="0.35">
      <c r="A625" s="28"/>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30"/>
    </row>
    <row r="626" spans="1:25" ht="15" thickBot="1" x14ac:dyDescent="0.35">
      <c r="A626" s="28"/>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30"/>
    </row>
    <row r="627" spans="1:25" ht="15" thickBot="1" x14ac:dyDescent="0.35">
      <c r="A627" s="28"/>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30"/>
    </row>
    <row r="628" spans="1:25" ht="15" thickBot="1" x14ac:dyDescent="0.35">
      <c r="A628" s="28"/>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30"/>
    </row>
    <row r="629" spans="1:25" ht="15" thickBot="1" x14ac:dyDescent="0.35">
      <c r="A629" s="28"/>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30"/>
    </row>
    <row r="630" spans="1:25" ht="15" thickBot="1" x14ac:dyDescent="0.35">
      <c r="A630" s="28"/>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30"/>
    </row>
    <row r="631" spans="1:25" ht="15" thickBot="1" x14ac:dyDescent="0.35">
      <c r="A631" s="28"/>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30"/>
    </row>
    <row r="632" spans="1:25" ht="15" thickBot="1" x14ac:dyDescent="0.35">
      <c r="A632" s="28"/>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30"/>
    </row>
    <row r="633" spans="1:25" ht="15" thickBot="1" x14ac:dyDescent="0.35">
      <c r="A633" s="28"/>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30"/>
    </row>
    <row r="634" spans="1:25" ht="15" thickBot="1" x14ac:dyDescent="0.35">
      <c r="A634" s="28"/>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30"/>
    </row>
    <row r="635" spans="1:25" ht="15" thickBot="1" x14ac:dyDescent="0.35">
      <c r="A635" s="28"/>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30"/>
    </row>
    <row r="636" spans="1:25" ht="15" thickBot="1" x14ac:dyDescent="0.35">
      <c r="A636" s="28"/>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30"/>
    </row>
    <row r="637" spans="1:25" ht="15" thickBot="1" x14ac:dyDescent="0.35">
      <c r="A637" s="28"/>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30"/>
    </row>
    <row r="638" spans="1:25" ht="15" thickBot="1" x14ac:dyDescent="0.35">
      <c r="A638" s="28"/>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30"/>
    </row>
    <row r="639" spans="1:25" ht="15" thickBot="1" x14ac:dyDescent="0.35">
      <c r="A639" s="28"/>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30"/>
    </row>
    <row r="640" spans="1:25" ht="15" thickBot="1" x14ac:dyDescent="0.35">
      <c r="A640" s="28"/>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30"/>
    </row>
    <row r="641" spans="1:25" ht="15" thickBot="1" x14ac:dyDescent="0.35">
      <c r="A641" s="28"/>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30"/>
    </row>
    <row r="642" spans="1:25" ht="15" thickBot="1" x14ac:dyDescent="0.35">
      <c r="A642" s="28"/>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30"/>
    </row>
    <row r="643" spans="1:25" ht="15" thickBot="1" x14ac:dyDescent="0.35">
      <c r="A643" s="28"/>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30"/>
    </row>
    <row r="644" spans="1:25" ht="15" thickBot="1" x14ac:dyDescent="0.35">
      <c r="A644" s="28"/>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30"/>
    </row>
    <row r="645" spans="1:25" ht="15" thickBot="1" x14ac:dyDescent="0.35">
      <c r="A645" s="28"/>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30"/>
    </row>
    <row r="646" spans="1:25" ht="15" thickBot="1" x14ac:dyDescent="0.35">
      <c r="A646" s="28"/>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30"/>
    </row>
    <row r="647" spans="1:25" ht="15" thickBot="1" x14ac:dyDescent="0.35">
      <c r="A647" s="28"/>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30"/>
    </row>
    <row r="648" spans="1:25" ht="15" thickBot="1" x14ac:dyDescent="0.35">
      <c r="A648" s="28"/>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30"/>
    </row>
    <row r="649" spans="1:25" ht="15" thickBot="1" x14ac:dyDescent="0.35">
      <c r="A649" s="28"/>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30"/>
    </row>
    <row r="650" spans="1:25" ht="15" thickBot="1" x14ac:dyDescent="0.35">
      <c r="A650" s="28"/>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30"/>
    </row>
    <row r="651" spans="1:25" ht="15" thickBot="1" x14ac:dyDescent="0.35">
      <c r="A651" s="28"/>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30"/>
    </row>
    <row r="652" spans="1:25" ht="15" thickBot="1" x14ac:dyDescent="0.35">
      <c r="A652" s="28"/>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30"/>
    </row>
    <row r="653" spans="1:25" ht="15" thickBot="1" x14ac:dyDescent="0.35">
      <c r="A653" s="28"/>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30"/>
    </row>
    <row r="654" spans="1:25" ht="15" thickBot="1" x14ac:dyDescent="0.35">
      <c r="A654" s="28"/>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30"/>
    </row>
    <row r="655" spans="1:25" ht="15" thickBot="1" x14ac:dyDescent="0.35">
      <c r="A655" s="28"/>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30"/>
    </row>
    <row r="656" spans="1:25" ht="15" thickBot="1" x14ac:dyDescent="0.35">
      <c r="A656" s="28"/>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30"/>
    </row>
    <row r="657" spans="1:25" ht="15" thickBot="1" x14ac:dyDescent="0.35">
      <c r="A657" s="28"/>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30"/>
    </row>
    <row r="658" spans="1:25" ht="15" thickBot="1" x14ac:dyDescent="0.35">
      <c r="A658" s="28"/>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30"/>
    </row>
    <row r="659" spans="1:25" ht="15" thickBot="1" x14ac:dyDescent="0.35">
      <c r="A659" s="28"/>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30"/>
    </row>
    <row r="660" spans="1:25" ht="15" thickBot="1" x14ac:dyDescent="0.35">
      <c r="A660" s="28"/>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30"/>
    </row>
    <row r="661" spans="1:25" ht="15" thickBot="1" x14ac:dyDescent="0.35">
      <c r="A661" s="28"/>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30"/>
    </row>
    <row r="662" spans="1:25" ht="15" thickBot="1" x14ac:dyDescent="0.35">
      <c r="A662" s="28"/>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30"/>
    </row>
    <row r="663" spans="1:25" ht="15" thickBot="1" x14ac:dyDescent="0.35">
      <c r="A663" s="28"/>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30"/>
    </row>
    <row r="664" spans="1:25" ht="15" thickBot="1" x14ac:dyDescent="0.35">
      <c r="A664" s="28"/>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30"/>
    </row>
    <row r="665" spans="1:25" ht="15" thickBot="1" x14ac:dyDescent="0.35">
      <c r="A665" s="28"/>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30"/>
    </row>
    <row r="666" spans="1:25" ht="15" thickBot="1" x14ac:dyDescent="0.35">
      <c r="A666" s="28"/>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30"/>
    </row>
    <row r="667" spans="1:25" ht="15" thickBot="1" x14ac:dyDescent="0.35">
      <c r="A667" s="28"/>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30"/>
    </row>
    <row r="668" spans="1:25" ht="15" thickBot="1" x14ac:dyDescent="0.35">
      <c r="A668" s="28"/>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30"/>
    </row>
    <row r="669" spans="1:25" ht="15" thickBot="1" x14ac:dyDescent="0.35">
      <c r="A669" s="28"/>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30"/>
    </row>
    <row r="670" spans="1:25" ht="15" thickBot="1" x14ac:dyDescent="0.35">
      <c r="A670" s="28"/>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30"/>
    </row>
    <row r="671" spans="1:25" ht="15" thickBot="1" x14ac:dyDescent="0.35">
      <c r="A671" s="28"/>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30"/>
    </row>
    <row r="672" spans="1:25" ht="15" thickBot="1" x14ac:dyDescent="0.35">
      <c r="A672" s="28"/>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30"/>
    </row>
    <row r="673" spans="1:25" ht="15" thickBot="1" x14ac:dyDescent="0.35">
      <c r="A673" s="28"/>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30"/>
    </row>
    <row r="674" spans="1:25" ht="15" thickBot="1" x14ac:dyDescent="0.35">
      <c r="A674" s="28"/>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30"/>
    </row>
    <row r="675" spans="1:25" ht="15" thickBot="1" x14ac:dyDescent="0.35">
      <c r="A675" s="28"/>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30"/>
    </row>
    <row r="676" spans="1:25" ht="15" thickBot="1" x14ac:dyDescent="0.35">
      <c r="A676" s="28"/>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30"/>
    </row>
    <row r="677" spans="1:25" ht="15" thickBot="1" x14ac:dyDescent="0.35">
      <c r="A677" s="28"/>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30"/>
    </row>
    <row r="678" spans="1:25" ht="15" thickBot="1" x14ac:dyDescent="0.35">
      <c r="A678" s="28"/>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30"/>
    </row>
    <row r="679" spans="1:25" ht="15" thickBot="1" x14ac:dyDescent="0.35">
      <c r="A679" s="28"/>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30"/>
    </row>
    <row r="680" spans="1:25" ht="15" thickBot="1" x14ac:dyDescent="0.35">
      <c r="A680" s="28"/>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30"/>
    </row>
    <row r="681" spans="1:25" ht="15" thickBot="1" x14ac:dyDescent="0.35">
      <c r="A681" s="28"/>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30"/>
    </row>
    <row r="682" spans="1:25" ht="15" thickBot="1" x14ac:dyDescent="0.35">
      <c r="A682" s="28"/>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30"/>
    </row>
    <row r="683" spans="1:25" ht="15" thickBot="1" x14ac:dyDescent="0.35">
      <c r="A683" s="28"/>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30"/>
    </row>
    <row r="684" spans="1:25" ht="15" thickBot="1" x14ac:dyDescent="0.35">
      <c r="A684" s="28"/>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30"/>
    </row>
    <row r="685" spans="1:25" ht="15" thickBot="1" x14ac:dyDescent="0.35">
      <c r="A685" s="28"/>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30"/>
    </row>
    <row r="686" spans="1:25" ht="15" thickBot="1" x14ac:dyDescent="0.35">
      <c r="A686" s="28"/>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30"/>
    </row>
    <row r="687" spans="1:25" ht="15" thickBot="1" x14ac:dyDescent="0.35">
      <c r="A687" s="28"/>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30"/>
    </row>
    <row r="688" spans="1:25" ht="15" thickBot="1" x14ac:dyDescent="0.35">
      <c r="A688" s="28"/>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30"/>
    </row>
    <row r="689" spans="1:25" ht="15" thickBot="1" x14ac:dyDescent="0.35">
      <c r="A689" s="28"/>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30"/>
    </row>
    <row r="690" spans="1:25" ht="15" thickBot="1" x14ac:dyDescent="0.35">
      <c r="A690" s="28"/>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30"/>
    </row>
    <row r="691" spans="1:25" ht="15" thickBot="1" x14ac:dyDescent="0.35">
      <c r="A691" s="28"/>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30"/>
    </row>
    <row r="692" spans="1:25" ht="15" thickBot="1" x14ac:dyDescent="0.35">
      <c r="A692" s="28"/>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30"/>
    </row>
    <row r="693" spans="1:25" ht="15" thickBot="1" x14ac:dyDescent="0.35">
      <c r="A693" s="28"/>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30"/>
    </row>
    <row r="694" spans="1:25" ht="15" thickBot="1" x14ac:dyDescent="0.35">
      <c r="A694" s="28"/>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30"/>
    </row>
    <row r="695" spans="1:25" ht="15" thickBot="1" x14ac:dyDescent="0.35">
      <c r="A695" s="28"/>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30"/>
    </row>
    <row r="696" spans="1:25" ht="15" thickBot="1" x14ac:dyDescent="0.35">
      <c r="A696" s="28"/>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30"/>
    </row>
    <row r="697" spans="1:25" ht="15" thickBot="1" x14ac:dyDescent="0.35">
      <c r="A697" s="28"/>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30"/>
    </row>
    <row r="698" spans="1:25" ht="15" thickBot="1" x14ac:dyDescent="0.35">
      <c r="A698" s="28"/>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30"/>
    </row>
    <row r="699" spans="1:25" ht="15" thickBot="1" x14ac:dyDescent="0.35">
      <c r="A699" s="31"/>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3"/>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9814B-2296-45F7-BBB4-EE55B50DE7EB}">
  <dimension ref="A1:O501"/>
  <sheetViews>
    <sheetView workbookViewId="0">
      <selection activeCell="Q26" sqref="Q26"/>
    </sheetView>
  </sheetViews>
  <sheetFormatPr defaultRowHeight="14.4" x14ac:dyDescent="0.3"/>
  <cols>
    <col min="1" max="1" width="9.77734375" bestFit="1" customWidth="1"/>
    <col min="2" max="2" width="11.88671875" bestFit="1" customWidth="1"/>
    <col min="3" max="3" width="11.5546875" bestFit="1" customWidth="1"/>
    <col min="4" max="4" width="17.21875" bestFit="1" customWidth="1"/>
    <col min="5" max="5" width="10.33203125" bestFit="1" customWidth="1"/>
    <col min="6" max="6" width="11" bestFit="1" customWidth="1"/>
    <col min="7" max="7" width="10.5546875" bestFit="1" customWidth="1"/>
    <col min="8" max="8" width="8.77734375" bestFit="1" customWidth="1"/>
    <col min="9" max="9" width="14.5546875" bestFit="1" customWidth="1"/>
    <col min="11" max="11" width="12.77734375" bestFit="1" customWidth="1"/>
    <col min="12" max="12" width="10" style="13" bestFit="1" customWidth="1"/>
    <col min="13" max="13" width="8.77734375" customWidth="1"/>
    <col min="14" max="14" width="10.88671875" bestFit="1" customWidth="1"/>
    <col min="15" max="15" width="12.6640625" bestFit="1" customWidth="1"/>
  </cols>
  <sheetData>
    <row r="1" spans="1:15" x14ac:dyDescent="0.3">
      <c r="A1" t="s">
        <v>0</v>
      </c>
      <c r="B1" t="s">
        <v>1</v>
      </c>
      <c r="C1" t="s">
        <v>2</v>
      </c>
      <c r="D1" t="s">
        <v>3</v>
      </c>
      <c r="E1" t="s">
        <v>4</v>
      </c>
      <c r="F1" t="s">
        <v>5</v>
      </c>
      <c r="G1" t="s">
        <v>6</v>
      </c>
      <c r="H1" t="s">
        <v>7</v>
      </c>
      <c r="I1" t="s">
        <v>8</v>
      </c>
      <c r="J1" t="s">
        <v>22</v>
      </c>
      <c r="K1" t="s">
        <v>23</v>
      </c>
      <c r="L1" s="13" t="s">
        <v>21</v>
      </c>
      <c r="M1" t="s">
        <v>24</v>
      </c>
      <c r="N1" t="s">
        <v>25</v>
      </c>
      <c r="O1" t="s">
        <v>26</v>
      </c>
    </row>
    <row r="2" spans="1:15" x14ac:dyDescent="0.3">
      <c r="A2">
        <v>10001</v>
      </c>
      <c r="B2" s="1">
        <v>44562</v>
      </c>
      <c r="C2">
        <v>2052</v>
      </c>
      <c r="D2" t="s">
        <v>9</v>
      </c>
      <c r="E2">
        <v>9</v>
      </c>
      <c r="F2">
        <v>495.78</v>
      </c>
      <c r="G2">
        <v>0.04</v>
      </c>
      <c r="H2" t="s">
        <v>10</v>
      </c>
      <c r="I2" t="s">
        <v>11</v>
      </c>
      <c r="J2">
        <f>amazon_store_sales_2022__1[[#This Row],[UnitPrice]]*amazon_store_sales_2022__1[[#This Row],[Quantity]]</f>
        <v>4462.0199999999995</v>
      </c>
      <c r="K2">
        <f>amazon_store_sales_2022__1[[#This Row],[Total ]]*amazon_store_sales_2022__1[[#This Row],[Discount]]</f>
        <v>178.48079999999999</v>
      </c>
      <c r="L2" s="13">
        <f>amazon_store_sales_2022__1[[#This Row],[Total ]]-amazon_store_sales_2022__1[[#This Row],[Total Discount]]</f>
        <v>4283.5391999999993</v>
      </c>
      <c r="M2">
        <f>YEAR(amazon_store_sales_2022__1[[#This Row],[OrderDate]])</f>
        <v>2022</v>
      </c>
      <c r="N2" t="str" cm="1">
        <f t="array" ref="N2">_xlfn.IFS(L2&lt;500," VeryLow",L2&lt;1000,"Low",L2&lt;2000,"Medium",L2&lt;3000,"High",L2&lt;5000,"VeryHigh")</f>
        <v>VeryHigh</v>
      </c>
      <c r="O2" t="str" cm="1">
        <f t="array" ref="O2">_xlfn.IFS(G2&lt;0.09,"Low",G2&lt;0.2,"Medium",G2&lt;0.4,"High")</f>
        <v>Low</v>
      </c>
    </row>
    <row r="3" spans="1:15" x14ac:dyDescent="0.3">
      <c r="A3">
        <v>10002</v>
      </c>
      <c r="B3" s="1">
        <v>44563</v>
      </c>
      <c r="C3">
        <v>2093</v>
      </c>
      <c r="D3" t="s">
        <v>12</v>
      </c>
      <c r="E3">
        <v>8</v>
      </c>
      <c r="F3">
        <v>35.450000000000003</v>
      </c>
      <c r="G3">
        <v>0.28999999999999998</v>
      </c>
      <c r="H3" t="s">
        <v>13</v>
      </c>
      <c r="I3" t="s">
        <v>11</v>
      </c>
      <c r="J3">
        <f>amazon_store_sales_2022__1[[#This Row],[UnitPrice]]*amazon_store_sales_2022__1[[#This Row],[Quantity]]</f>
        <v>283.60000000000002</v>
      </c>
      <c r="K3">
        <f>amazon_store_sales_2022__1[[#This Row],[Total ]]*amazon_store_sales_2022__1[[#This Row],[Discount]]</f>
        <v>82.244</v>
      </c>
      <c r="L3" s="13">
        <f>amazon_store_sales_2022__1[[#This Row],[Total ]]-amazon_store_sales_2022__1[[#This Row],[Total Discount]]</f>
        <v>201.35600000000002</v>
      </c>
      <c r="M3">
        <f>YEAR(amazon_store_sales_2022__1[[#This Row],[OrderDate]])</f>
        <v>2022</v>
      </c>
      <c r="N3" t="str" cm="1">
        <f t="array" ref="N3">_xlfn.IFS(L3&lt;500," VeryLow",L3&lt;1000,"Low",L3&lt;2000,"Medium",L3&lt;3000,"High",L3&lt;5000,"VeryHigh")</f>
        <v xml:space="preserve"> VeryLow</v>
      </c>
      <c r="O3" t="str" cm="1">
        <f t="array" ref="O3">_xlfn.IFS(G3&lt;0.09,"Low",G3&lt;0.2,"Medium",G3&lt;0.4,"High")</f>
        <v>High</v>
      </c>
    </row>
    <row r="4" spans="1:15" x14ac:dyDescent="0.3">
      <c r="A4">
        <v>10003</v>
      </c>
      <c r="B4" s="1">
        <v>44564</v>
      </c>
      <c r="C4">
        <v>2015</v>
      </c>
      <c r="D4" t="s">
        <v>14</v>
      </c>
      <c r="E4">
        <v>6</v>
      </c>
      <c r="F4">
        <v>442.04</v>
      </c>
      <c r="G4">
        <v>0.01</v>
      </c>
      <c r="H4" t="s">
        <v>15</v>
      </c>
      <c r="I4" t="s">
        <v>11</v>
      </c>
      <c r="J4">
        <f>amazon_store_sales_2022__1[[#This Row],[UnitPrice]]*amazon_store_sales_2022__1[[#This Row],[Quantity]]</f>
        <v>2652.2400000000002</v>
      </c>
      <c r="K4">
        <f>amazon_store_sales_2022__1[[#This Row],[Total ]]*amazon_store_sales_2022__1[[#This Row],[Discount]]</f>
        <v>26.522400000000005</v>
      </c>
      <c r="L4" s="13">
        <f>amazon_store_sales_2022__1[[#This Row],[Total ]]-amazon_store_sales_2022__1[[#This Row],[Total Discount]]</f>
        <v>2625.7176000000004</v>
      </c>
      <c r="M4">
        <f>YEAR(amazon_store_sales_2022__1[[#This Row],[OrderDate]])</f>
        <v>2022</v>
      </c>
      <c r="N4" t="str" cm="1">
        <f t="array" ref="N4">_xlfn.IFS(L4&lt;500," VeryLow",L4&lt;1000,"Low",L4&lt;2000,"Medium",L4&lt;3000,"High",L4&lt;5000,"VeryHigh")</f>
        <v>High</v>
      </c>
      <c r="O4" t="str" cm="1">
        <f t="array" ref="O4">_xlfn.IFS(G4&lt;0.09,"Low",G4&lt;0.2,"Medium",G4&lt;0.4,"High")</f>
        <v>Low</v>
      </c>
    </row>
    <row r="5" spans="1:15" x14ac:dyDescent="0.3">
      <c r="A5">
        <v>10004</v>
      </c>
      <c r="B5" s="1">
        <v>44565</v>
      </c>
      <c r="C5">
        <v>2072</v>
      </c>
      <c r="D5" t="s">
        <v>16</v>
      </c>
      <c r="E5">
        <v>7</v>
      </c>
      <c r="F5">
        <v>260.45999999999998</v>
      </c>
      <c r="G5">
        <v>0.22</v>
      </c>
      <c r="H5" t="s">
        <v>17</v>
      </c>
      <c r="I5" t="s">
        <v>18</v>
      </c>
      <c r="J5">
        <f>amazon_store_sales_2022__1[[#This Row],[UnitPrice]]*amazon_store_sales_2022__1[[#This Row],[Quantity]]</f>
        <v>1823.2199999999998</v>
      </c>
      <c r="K5">
        <f>amazon_store_sales_2022__1[[#This Row],[Total ]]*amazon_store_sales_2022__1[[#This Row],[Discount]]</f>
        <v>401.10839999999996</v>
      </c>
      <c r="L5" s="13">
        <f>amazon_store_sales_2022__1[[#This Row],[Total ]]-amazon_store_sales_2022__1[[#This Row],[Total Discount]]</f>
        <v>1422.1115999999997</v>
      </c>
      <c r="M5">
        <f>YEAR(amazon_store_sales_2022__1[[#This Row],[OrderDate]])</f>
        <v>2022</v>
      </c>
      <c r="N5" t="str" cm="1">
        <f t="array" ref="N5">_xlfn.IFS(L5&lt;500," VeryLow",L5&lt;1000,"Low",L5&lt;2000,"Medium",L5&lt;3000,"High",L5&lt;5000,"VeryHigh")</f>
        <v>Medium</v>
      </c>
      <c r="O5" t="str" cm="1">
        <f t="array" ref="O5">_xlfn.IFS(G5&lt;0.09,"Low",G5&lt;0.2,"Medium",G5&lt;0.4,"High")</f>
        <v>High</v>
      </c>
    </row>
    <row r="6" spans="1:15" x14ac:dyDescent="0.3">
      <c r="A6">
        <v>10005</v>
      </c>
      <c r="B6" s="1">
        <v>44566</v>
      </c>
      <c r="C6">
        <v>2061</v>
      </c>
      <c r="D6" t="s">
        <v>19</v>
      </c>
      <c r="E6">
        <v>3</v>
      </c>
      <c r="F6">
        <v>453.72</v>
      </c>
      <c r="G6">
        <v>0.23</v>
      </c>
      <c r="H6" t="s">
        <v>13</v>
      </c>
      <c r="I6" t="s">
        <v>18</v>
      </c>
      <c r="J6">
        <f>amazon_store_sales_2022__1[[#This Row],[UnitPrice]]*amazon_store_sales_2022__1[[#This Row],[Quantity]]</f>
        <v>1361.16</v>
      </c>
      <c r="K6">
        <f>amazon_store_sales_2022__1[[#This Row],[Total ]]*amazon_store_sales_2022__1[[#This Row],[Discount]]</f>
        <v>313.06680000000006</v>
      </c>
      <c r="L6" s="13">
        <f>amazon_store_sales_2022__1[[#This Row],[Total ]]-amazon_store_sales_2022__1[[#This Row],[Total Discount]]</f>
        <v>1048.0932</v>
      </c>
      <c r="M6">
        <f>YEAR(amazon_store_sales_2022__1[[#This Row],[OrderDate]])</f>
        <v>2022</v>
      </c>
      <c r="N6" t="str" cm="1">
        <f t="array" ref="N6">_xlfn.IFS(L6&lt;500," VeryLow",L6&lt;1000,"Low",L6&lt;2000,"Medium",L6&lt;3000,"High",L6&lt;5000,"VeryHigh")</f>
        <v>Medium</v>
      </c>
      <c r="O6" t="str" cm="1">
        <f t="array" ref="O6">_xlfn.IFS(G6&lt;0.09,"Low",G6&lt;0.2,"Medium",G6&lt;0.4,"High")</f>
        <v>High</v>
      </c>
    </row>
    <row r="7" spans="1:15" x14ac:dyDescent="0.3">
      <c r="A7">
        <v>10006</v>
      </c>
      <c r="B7" s="1">
        <v>44567</v>
      </c>
      <c r="C7">
        <v>2021</v>
      </c>
      <c r="D7" t="s">
        <v>16</v>
      </c>
      <c r="E7">
        <v>1</v>
      </c>
      <c r="F7">
        <v>287.8</v>
      </c>
      <c r="G7">
        <v>7.0000000000000007E-2</v>
      </c>
      <c r="H7" t="s">
        <v>15</v>
      </c>
      <c r="I7" t="s">
        <v>11</v>
      </c>
      <c r="J7">
        <f>amazon_store_sales_2022__1[[#This Row],[UnitPrice]]*amazon_store_sales_2022__1[[#This Row],[Quantity]]</f>
        <v>287.8</v>
      </c>
      <c r="K7">
        <f>amazon_store_sales_2022__1[[#This Row],[Total ]]*amazon_store_sales_2022__1[[#This Row],[Discount]]</f>
        <v>20.146000000000004</v>
      </c>
      <c r="L7" s="13">
        <f>amazon_store_sales_2022__1[[#This Row],[Total ]]-amazon_store_sales_2022__1[[#This Row],[Total Discount]]</f>
        <v>267.654</v>
      </c>
      <c r="M7">
        <f>YEAR(amazon_store_sales_2022__1[[#This Row],[OrderDate]])</f>
        <v>2022</v>
      </c>
      <c r="N7" t="str" cm="1">
        <f t="array" ref="N7">_xlfn.IFS(L7&lt;500," VeryLow",L7&lt;1000,"Low",L7&lt;2000,"Medium",L7&lt;3000,"High",L7&lt;5000,"VeryHigh")</f>
        <v xml:space="preserve"> VeryLow</v>
      </c>
      <c r="O7" t="str" cm="1">
        <f t="array" ref="O7">_xlfn.IFS(G7&lt;0.09,"Low",G7&lt;0.2,"Medium",G7&lt;0.4,"High")</f>
        <v>Low</v>
      </c>
    </row>
    <row r="8" spans="1:15" x14ac:dyDescent="0.3">
      <c r="A8">
        <v>10007</v>
      </c>
      <c r="B8" s="1">
        <v>44568</v>
      </c>
      <c r="C8">
        <v>2083</v>
      </c>
      <c r="D8" t="s">
        <v>9</v>
      </c>
      <c r="E8">
        <v>5</v>
      </c>
      <c r="F8">
        <v>332.75</v>
      </c>
      <c r="G8">
        <v>0.2</v>
      </c>
      <c r="H8" t="s">
        <v>13</v>
      </c>
      <c r="I8" t="s">
        <v>18</v>
      </c>
      <c r="J8">
        <f>amazon_store_sales_2022__1[[#This Row],[UnitPrice]]*amazon_store_sales_2022__1[[#This Row],[Quantity]]</f>
        <v>1663.75</v>
      </c>
      <c r="K8">
        <f>amazon_store_sales_2022__1[[#This Row],[Total ]]*amazon_store_sales_2022__1[[#This Row],[Discount]]</f>
        <v>332.75</v>
      </c>
      <c r="L8" s="13">
        <f>amazon_store_sales_2022__1[[#This Row],[Total ]]-amazon_store_sales_2022__1[[#This Row],[Total Discount]]</f>
        <v>1331</v>
      </c>
      <c r="M8">
        <f>YEAR(amazon_store_sales_2022__1[[#This Row],[OrderDate]])</f>
        <v>2022</v>
      </c>
      <c r="N8" t="str" cm="1">
        <f t="array" ref="N8">_xlfn.IFS(L8&lt;500," VeryLow",L8&lt;1000,"Low",L8&lt;2000,"Medium",L8&lt;3000,"High",L8&lt;5000,"VeryHigh")</f>
        <v>Medium</v>
      </c>
      <c r="O8" t="str" cm="1">
        <f t="array" ref="O8">_xlfn.IFS(G8&lt;0.09,"Low",G8&lt;0.2,"Medium",G8&lt;0.4,"High")</f>
        <v>High</v>
      </c>
    </row>
    <row r="9" spans="1:15" x14ac:dyDescent="0.3">
      <c r="A9">
        <v>10008</v>
      </c>
      <c r="B9" s="1">
        <v>44569</v>
      </c>
      <c r="C9">
        <v>2087</v>
      </c>
      <c r="D9" t="s">
        <v>16</v>
      </c>
      <c r="E9">
        <v>2</v>
      </c>
      <c r="F9">
        <v>274.17</v>
      </c>
      <c r="G9">
        <v>0.03</v>
      </c>
      <c r="H9" t="s">
        <v>13</v>
      </c>
      <c r="I9" t="s">
        <v>18</v>
      </c>
      <c r="J9">
        <f>amazon_store_sales_2022__1[[#This Row],[UnitPrice]]*amazon_store_sales_2022__1[[#This Row],[Quantity]]</f>
        <v>548.34</v>
      </c>
      <c r="K9">
        <f>amazon_store_sales_2022__1[[#This Row],[Total ]]*amazon_store_sales_2022__1[[#This Row],[Discount]]</f>
        <v>16.450199999999999</v>
      </c>
      <c r="L9" s="13">
        <f>amazon_store_sales_2022__1[[#This Row],[Total ]]-amazon_store_sales_2022__1[[#This Row],[Total Discount]]</f>
        <v>531.88980000000004</v>
      </c>
      <c r="M9">
        <f>YEAR(amazon_store_sales_2022__1[[#This Row],[OrderDate]])</f>
        <v>2022</v>
      </c>
      <c r="N9" t="str" cm="1">
        <f t="array" ref="N9">_xlfn.IFS(L9&lt;500," VeryLow",L9&lt;1000,"Low",L9&lt;2000,"Medium",L9&lt;3000,"High",L9&lt;5000,"VeryHigh")</f>
        <v>Low</v>
      </c>
      <c r="O9" t="str" cm="1">
        <f t="array" ref="O9">_xlfn.IFS(G9&lt;0.09,"Low",G9&lt;0.2,"Medium",G9&lt;0.4,"High")</f>
        <v>Low</v>
      </c>
    </row>
    <row r="10" spans="1:15" x14ac:dyDescent="0.3">
      <c r="A10">
        <v>10009</v>
      </c>
      <c r="B10" s="1">
        <v>44570</v>
      </c>
      <c r="C10">
        <v>2075</v>
      </c>
      <c r="D10" t="s">
        <v>19</v>
      </c>
      <c r="E10">
        <v>5</v>
      </c>
      <c r="F10">
        <v>432.92</v>
      </c>
      <c r="G10">
        <v>0.08</v>
      </c>
      <c r="H10" t="s">
        <v>10</v>
      </c>
      <c r="I10" t="s">
        <v>11</v>
      </c>
      <c r="J10">
        <f>amazon_store_sales_2022__1[[#This Row],[UnitPrice]]*amazon_store_sales_2022__1[[#This Row],[Quantity]]</f>
        <v>2164.6</v>
      </c>
      <c r="K10">
        <f>amazon_store_sales_2022__1[[#This Row],[Total ]]*amazon_store_sales_2022__1[[#This Row],[Discount]]</f>
        <v>173.16800000000001</v>
      </c>
      <c r="L10" s="13">
        <f>amazon_store_sales_2022__1[[#This Row],[Total ]]-amazon_store_sales_2022__1[[#This Row],[Total Discount]]</f>
        <v>1991.4319999999998</v>
      </c>
      <c r="M10">
        <f>YEAR(amazon_store_sales_2022__1[[#This Row],[OrderDate]])</f>
        <v>2022</v>
      </c>
      <c r="N10" t="str" cm="1">
        <f t="array" ref="N10">_xlfn.IFS(L10&lt;500," VeryLow",L10&lt;1000,"Low",L10&lt;2000,"Medium",L10&lt;3000,"High",L10&lt;5000,"VeryHigh")</f>
        <v>Medium</v>
      </c>
      <c r="O10" t="str" cm="1">
        <f t="array" ref="O10">_xlfn.IFS(G10&lt;0.09,"Low",G10&lt;0.2,"Medium",G10&lt;0.4,"High")</f>
        <v>Low</v>
      </c>
    </row>
    <row r="11" spans="1:15" x14ac:dyDescent="0.3">
      <c r="A11">
        <v>10010</v>
      </c>
      <c r="B11" s="1">
        <v>44571</v>
      </c>
      <c r="C11">
        <v>2075</v>
      </c>
      <c r="D11" t="s">
        <v>9</v>
      </c>
      <c r="E11">
        <v>8</v>
      </c>
      <c r="F11">
        <v>368.29</v>
      </c>
      <c r="G11">
        <v>0.24</v>
      </c>
      <c r="H11" t="s">
        <v>15</v>
      </c>
      <c r="I11" t="s">
        <v>11</v>
      </c>
      <c r="J11">
        <f>amazon_store_sales_2022__1[[#This Row],[UnitPrice]]*amazon_store_sales_2022__1[[#This Row],[Quantity]]</f>
        <v>2946.32</v>
      </c>
      <c r="K11">
        <f>amazon_store_sales_2022__1[[#This Row],[Total ]]*amazon_store_sales_2022__1[[#This Row],[Discount]]</f>
        <v>707.11680000000001</v>
      </c>
      <c r="L11" s="13">
        <f>amazon_store_sales_2022__1[[#This Row],[Total ]]-amazon_store_sales_2022__1[[#This Row],[Total Discount]]</f>
        <v>2239.2031999999999</v>
      </c>
      <c r="M11">
        <f>YEAR(amazon_store_sales_2022__1[[#This Row],[OrderDate]])</f>
        <v>2022</v>
      </c>
      <c r="N11" t="str" cm="1">
        <f t="array" ref="N11">_xlfn.IFS(L11&lt;500," VeryLow",L11&lt;1000,"Low",L11&lt;2000,"Medium",L11&lt;3000,"High",L11&lt;5000,"VeryHigh")</f>
        <v>High</v>
      </c>
      <c r="O11" t="str" cm="1">
        <f t="array" ref="O11">_xlfn.IFS(G11&lt;0.09,"Low",G11&lt;0.2,"Medium",G11&lt;0.4,"High")</f>
        <v>High</v>
      </c>
    </row>
    <row r="12" spans="1:15" x14ac:dyDescent="0.3">
      <c r="A12">
        <v>10011</v>
      </c>
      <c r="B12" s="1">
        <v>44572</v>
      </c>
      <c r="C12">
        <v>2088</v>
      </c>
      <c r="D12" t="s">
        <v>16</v>
      </c>
      <c r="E12">
        <v>9</v>
      </c>
      <c r="F12">
        <v>263.02</v>
      </c>
      <c r="G12">
        <v>0.26</v>
      </c>
      <c r="H12" t="s">
        <v>17</v>
      </c>
      <c r="I12" t="s">
        <v>18</v>
      </c>
      <c r="J12">
        <f>amazon_store_sales_2022__1[[#This Row],[UnitPrice]]*amazon_store_sales_2022__1[[#This Row],[Quantity]]</f>
        <v>2367.1799999999998</v>
      </c>
      <c r="K12">
        <f>amazon_store_sales_2022__1[[#This Row],[Total ]]*amazon_store_sales_2022__1[[#This Row],[Discount]]</f>
        <v>615.46680000000003</v>
      </c>
      <c r="L12" s="13">
        <f>amazon_store_sales_2022__1[[#This Row],[Total ]]-amazon_store_sales_2022__1[[#This Row],[Total Discount]]</f>
        <v>1751.7131999999997</v>
      </c>
      <c r="M12">
        <f>YEAR(amazon_store_sales_2022__1[[#This Row],[OrderDate]])</f>
        <v>2022</v>
      </c>
      <c r="N12" t="str" cm="1">
        <f t="array" ref="N12">_xlfn.IFS(L12&lt;500," VeryLow",L12&lt;1000,"Low",L12&lt;2000,"Medium",L12&lt;3000,"High",L12&lt;5000,"VeryHigh")</f>
        <v>Medium</v>
      </c>
      <c r="O12" t="str" cm="1">
        <f t="array" ref="O12">_xlfn.IFS(G12&lt;0.09,"Low",G12&lt;0.2,"Medium",G12&lt;0.4,"High")</f>
        <v>High</v>
      </c>
    </row>
    <row r="13" spans="1:15" x14ac:dyDescent="0.3">
      <c r="A13">
        <v>10012</v>
      </c>
      <c r="B13" s="1">
        <v>44573</v>
      </c>
      <c r="C13">
        <v>2100</v>
      </c>
      <c r="D13" t="s">
        <v>9</v>
      </c>
      <c r="E13">
        <v>2</v>
      </c>
      <c r="F13">
        <v>434.74</v>
      </c>
      <c r="G13">
        <v>0.18</v>
      </c>
      <c r="H13" t="s">
        <v>17</v>
      </c>
      <c r="I13" t="s">
        <v>18</v>
      </c>
      <c r="J13">
        <f>amazon_store_sales_2022__1[[#This Row],[UnitPrice]]*amazon_store_sales_2022__1[[#This Row],[Quantity]]</f>
        <v>869.48</v>
      </c>
      <c r="K13">
        <f>amazon_store_sales_2022__1[[#This Row],[Total ]]*amazon_store_sales_2022__1[[#This Row],[Discount]]</f>
        <v>156.50639999999999</v>
      </c>
      <c r="L13" s="13">
        <f>amazon_store_sales_2022__1[[#This Row],[Total ]]-amazon_store_sales_2022__1[[#This Row],[Total Discount]]</f>
        <v>712.97360000000003</v>
      </c>
      <c r="M13">
        <f>YEAR(amazon_store_sales_2022__1[[#This Row],[OrderDate]])</f>
        <v>2022</v>
      </c>
      <c r="N13" t="str" cm="1">
        <f t="array" ref="N13">_xlfn.IFS(L13&lt;500," VeryLow",L13&lt;1000,"Low",L13&lt;2000,"Medium",L13&lt;3000,"High",L13&lt;5000,"VeryHigh")</f>
        <v>Low</v>
      </c>
      <c r="O13" t="str" cm="1">
        <f t="array" ref="O13">_xlfn.IFS(G13&lt;0.09,"Low",G13&lt;0.2,"Medium",G13&lt;0.4,"High")</f>
        <v>Medium</v>
      </c>
    </row>
    <row r="14" spans="1:15" x14ac:dyDescent="0.3">
      <c r="A14">
        <v>10013</v>
      </c>
      <c r="B14" s="1">
        <v>44574</v>
      </c>
      <c r="C14">
        <v>2024</v>
      </c>
      <c r="D14" t="s">
        <v>12</v>
      </c>
      <c r="E14">
        <v>3</v>
      </c>
      <c r="F14">
        <v>126.42</v>
      </c>
      <c r="G14">
        <v>0.15</v>
      </c>
      <c r="H14" t="s">
        <v>15</v>
      </c>
      <c r="I14" t="s">
        <v>11</v>
      </c>
      <c r="J14">
        <f>amazon_store_sales_2022__1[[#This Row],[UnitPrice]]*amazon_store_sales_2022__1[[#This Row],[Quantity]]</f>
        <v>379.26</v>
      </c>
      <c r="K14">
        <f>amazon_store_sales_2022__1[[#This Row],[Total ]]*amazon_store_sales_2022__1[[#This Row],[Discount]]</f>
        <v>56.888999999999996</v>
      </c>
      <c r="L14" s="13">
        <f>amazon_store_sales_2022__1[[#This Row],[Total ]]-amazon_store_sales_2022__1[[#This Row],[Total Discount]]</f>
        <v>322.37099999999998</v>
      </c>
      <c r="M14">
        <f>YEAR(amazon_store_sales_2022__1[[#This Row],[OrderDate]])</f>
        <v>2022</v>
      </c>
      <c r="N14" t="str" cm="1">
        <f t="array" ref="N14">_xlfn.IFS(L14&lt;500," VeryLow",L14&lt;1000,"Low",L14&lt;2000,"Medium",L14&lt;3000,"High",L14&lt;5000,"VeryHigh")</f>
        <v xml:space="preserve"> VeryLow</v>
      </c>
      <c r="O14" t="str" cm="1">
        <f t="array" ref="O14">_xlfn.IFS(G14&lt;0.09,"Low",G14&lt;0.2,"Medium",G14&lt;0.4,"High")</f>
        <v>Medium</v>
      </c>
    </row>
    <row r="15" spans="1:15" x14ac:dyDescent="0.3">
      <c r="A15">
        <v>10014</v>
      </c>
      <c r="B15" s="1">
        <v>44575</v>
      </c>
      <c r="C15">
        <v>2003</v>
      </c>
      <c r="D15" t="s">
        <v>12</v>
      </c>
      <c r="E15">
        <v>3</v>
      </c>
      <c r="F15">
        <v>82.88</v>
      </c>
      <c r="G15">
        <v>0.05</v>
      </c>
      <c r="H15" t="s">
        <v>10</v>
      </c>
      <c r="I15" t="s">
        <v>18</v>
      </c>
      <c r="J15">
        <f>amazon_store_sales_2022__1[[#This Row],[UnitPrice]]*amazon_store_sales_2022__1[[#This Row],[Quantity]]</f>
        <v>248.64</v>
      </c>
      <c r="K15">
        <f>amazon_store_sales_2022__1[[#This Row],[Total ]]*amazon_store_sales_2022__1[[#This Row],[Discount]]</f>
        <v>12.432</v>
      </c>
      <c r="L15" s="13">
        <f>amazon_store_sales_2022__1[[#This Row],[Total ]]-amazon_store_sales_2022__1[[#This Row],[Total Discount]]</f>
        <v>236.208</v>
      </c>
      <c r="M15">
        <f>YEAR(amazon_store_sales_2022__1[[#This Row],[OrderDate]])</f>
        <v>2022</v>
      </c>
      <c r="N15" t="str" cm="1">
        <f t="array" ref="N15">_xlfn.IFS(L15&lt;500," VeryLow",L15&lt;1000,"Low",L15&lt;2000,"Medium",L15&lt;3000,"High",L15&lt;5000,"VeryHigh")</f>
        <v xml:space="preserve"> VeryLow</v>
      </c>
      <c r="O15" t="str" cm="1">
        <f t="array" ref="O15">_xlfn.IFS(G15&lt;0.09,"Low",G15&lt;0.2,"Medium",G15&lt;0.4,"High")</f>
        <v>Low</v>
      </c>
    </row>
    <row r="16" spans="1:15" x14ac:dyDescent="0.3">
      <c r="A16">
        <v>10015</v>
      </c>
      <c r="B16" s="1">
        <v>44576</v>
      </c>
      <c r="C16">
        <v>2022</v>
      </c>
      <c r="D16" t="s">
        <v>16</v>
      </c>
      <c r="E16">
        <v>1</v>
      </c>
      <c r="F16">
        <v>84.4</v>
      </c>
      <c r="G16">
        <v>0.02</v>
      </c>
      <c r="H16" t="s">
        <v>20</v>
      </c>
      <c r="I16" t="s">
        <v>18</v>
      </c>
      <c r="J16">
        <f>amazon_store_sales_2022__1[[#This Row],[UnitPrice]]*amazon_store_sales_2022__1[[#This Row],[Quantity]]</f>
        <v>84.4</v>
      </c>
      <c r="K16">
        <f>amazon_store_sales_2022__1[[#This Row],[Total ]]*amazon_store_sales_2022__1[[#This Row],[Discount]]</f>
        <v>1.6880000000000002</v>
      </c>
      <c r="L16" s="13">
        <f>amazon_store_sales_2022__1[[#This Row],[Total ]]-amazon_store_sales_2022__1[[#This Row],[Total Discount]]</f>
        <v>82.712000000000003</v>
      </c>
      <c r="M16">
        <f>YEAR(amazon_store_sales_2022__1[[#This Row],[OrderDate]])</f>
        <v>2022</v>
      </c>
      <c r="N16" t="str" cm="1">
        <f t="array" ref="N16">_xlfn.IFS(L16&lt;500," VeryLow",L16&lt;1000,"Low",L16&lt;2000,"Medium",L16&lt;3000,"High",L16&lt;5000,"VeryHigh")</f>
        <v xml:space="preserve"> VeryLow</v>
      </c>
      <c r="O16" t="str" cm="1">
        <f t="array" ref="O16">_xlfn.IFS(G16&lt;0.09,"Low",G16&lt;0.2,"Medium",G16&lt;0.4,"High")</f>
        <v>Low</v>
      </c>
    </row>
    <row r="17" spans="1:15" x14ac:dyDescent="0.3">
      <c r="A17">
        <v>10016</v>
      </c>
      <c r="B17" s="1">
        <v>44577</v>
      </c>
      <c r="C17">
        <v>2053</v>
      </c>
      <c r="D17" t="s">
        <v>9</v>
      </c>
      <c r="E17">
        <v>8</v>
      </c>
      <c r="F17">
        <v>170.33</v>
      </c>
      <c r="G17">
        <v>0.04</v>
      </c>
      <c r="H17" t="s">
        <v>13</v>
      </c>
      <c r="I17" t="s">
        <v>11</v>
      </c>
      <c r="J17">
        <f>amazon_store_sales_2022__1[[#This Row],[UnitPrice]]*amazon_store_sales_2022__1[[#This Row],[Quantity]]</f>
        <v>1362.64</v>
      </c>
      <c r="K17">
        <f>amazon_store_sales_2022__1[[#This Row],[Total ]]*amazon_store_sales_2022__1[[#This Row],[Discount]]</f>
        <v>54.505600000000008</v>
      </c>
      <c r="L17" s="13">
        <f>amazon_store_sales_2022__1[[#This Row],[Total ]]-amazon_store_sales_2022__1[[#This Row],[Total Discount]]</f>
        <v>1308.1344000000001</v>
      </c>
      <c r="M17">
        <f>YEAR(amazon_store_sales_2022__1[[#This Row],[OrderDate]])</f>
        <v>2022</v>
      </c>
      <c r="N17" t="str" cm="1">
        <f t="array" ref="N17">_xlfn.IFS(L17&lt;500," VeryLow",L17&lt;1000,"Low",L17&lt;2000,"Medium",L17&lt;3000,"High",L17&lt;5000,"VeryHigh")</f>
        <v>Medium</v>
      </c>
      <c r="O17" t="str" cm="1">
        <f t="array" ref="O17">_xlfn.IFS(G17&lt;0.09,"Low",G17&lt;0.2,"Medium",G17&lt;0.4,"High")</f>
        <v>Low</v>
      </c>
    </row>
    <row r="18" spans="1:15" x14ac:dyDescent="0.3">
      <c r="A18">
        <v>10017</v>
      </c>
      <c r="B18" s="1">
        <v>44578</v>
      </c>
      <c r="C18">
        <v>2002</v>
      </c>
      <c r="D18" t="s">
        <v>19</v>
      </c>
      <c r="E18">
        <v>6</v>
      </c>
      <c r="F18">
        <v>123.15</v>
      </c>
      <c r="G18">
        <v>7.0000000000000007E-2</v>
      </c>
      <c r="H18" t="s">
        <v>10</v>
      </c>
      <c r="I18" t="s">
        <v>11</v>
      </c>
      <c r="J18">
        <f>amazon_store_sales_2022__1[[#This Row],[UnitPrice]]*amazon_store_sales_2022__1[[#This Row],[Quantity]]</f>
        <v>738.90000000000009</v>
      </c>
      <c r="K18">
        <f>amazon_store_sales_2022__1[[#This Row],[Total ]]*amazon_store_sales_2022__1[[#This Row],[Discount]]</f>
        <v>51.723000000000013</v>
      </c>
      <c r="L18" s="13">
        <f>amazon_store_sales_2022__1[[#This Row],[Total ]]-amazon_store_sales_2022__1[[#This Row],[Total Discount]]</f>
        <v>687.17700000000013</v>
      </c>
      <c r="M18">
        <f>YEAR(amazon_store_sales_2022__1[[#This Row],[OrderDate]])</f>
        <v>2022</v>
      </c>
      <c r="N18" t="str" cm="1">
        <f t="array" ref="N18">_xlfn.IFS(L18&lt;500," VeryLow",L18&lt;1000,"Low",L18&lt;2000,"Medium",L18&lt;3000,"High",L18&lt;5000,"VeryHigh")</f>
        <v>Low</v>
      </c>
      <c r="O18" t="str" cm="1">
        <f t="array" ref="O18">_xlfn.IFS(G18&lt;0.09,"Low",G18&lt;0.2,"Medium",G18&lt;0.4,"High")</f>
        <v>Low</v>
      </c>
    </row>
    <row r="19" spans="1:15" x14ac:dyDescent="0.3">
      <c r="A19">
        <v>10018</v>
      </c>
      <c r="B19" s="1">
        <v>44579</v>
      </c>
      <c r="C19">
        <v>2088</v>
      </c>
      <c r="D19" t="s">
        <v>16</v>
      </c>
      <c r="E19">
        <v>8</v>
      </c>
      <c r="F19">
        <v>465.39</v>
      </c>
      <c r="G19">
        <v>0.1</v>
      </c>
      <c r="H19" t="s">
        <v>15</v>
      </c>
      <c r="I19" t="s">
        <v>18</v>
      </c>
      <c r="J19">
        <f>amazon_store_sales_2022__1[[#This Row],[UnitPrice]]*amazon_store_sales_2022__1[[#This Row],[Quantity]]</f>
        <v>3723.12</v>
      </c>
      <c r="K19">
        <f>amazon_store_sales_2022__1[[#This Row],[Total ]]*amazon_store_sales_2022__1[[#This Row],[Discount]]</f>
        <v>372.31200000000001</v>
      </c>
      <c r="L19" s="13">
        <f>amazon_store_sales_2022__1[[#This Row],[Total ]]-amazon_store_sales_2022__1[[#This Row],[Total Discount]]</f>
        <v>3350.808</v>
      </c>
      <c r="M19">
        <f>YEAR(amazon_store_sales_2022__1[[#This Row],[OrderDate]])</f>
        <v>2022</v>
      </c>
      <c r="N19" t="str" cm="1">
        <f t="array" ref="N19">_xlfn.IFS(L19&lt;500," VeryLow",L19&lt;1000,"Low",L19&lt;2000,"Medium",L19&lt;3000,"High",L19&lt;5000,"VeryHigh")</f>
        <v>VeryHigh</v>
      </c>
      <c r="O19" t="str" cm="1">
        <f t="array" ref="O19">_xlfn.IFS(G19&lt;0.09,"Low",G19&lt;0.2,"Medium",G19&lt;0.4,"High")</f>
        <v>Medium</v>
      </c>
    </row>
    <row r="20" spans="1:15" x14ac:dyDescent="0.3">
      <c r="A20">
        <v>10019</v>
      </c>
      <c r="B20" s="1">
        <v>44580</v>
      </c>
      <c r="C20">
        <v>2030</v>
      </c>
      <c r="D20" t="s">
        <v>12</v>
      </c>
      <c r="E20">
        <v>9</v>
      </c>
      <c r="F20">
        <v>57.39</v>
      </c>
      <c r="G20">
        <v>0.11</v>
      </c>
      <c r="H20" t="s">
        <v>13</v>
      </c>
      <c r="I20" t="s">
        <v>18</v>
      </c>
      <c r="J20">
        <f>amazon_store_sales_2022__1[[#This Row],[UnitPrice]]*amazon_store_sales_2022__1[[#This Row],[Quantity]]</f>
        <v>516.51</v>
      </c>
      <c r="K20">
        <f>amazon_store_sales_2022__1[[#This Row],[Total ]]*amazon_store_sales_2022__1[[#This Row],[Discount]]</f>
        <v>56.816099999999999</v>
      </c>
      <c r="L20" s="13">
        <f>amazon_store_sales_2022__1[[#This Row],[Total ]]-amazon_store_sales_2022__1[[#This Row],[Total Discount]]</f>
        <v>459.69389999999999</v>
      </c>
      <c r="M20">
        <f>YEAR(amazon_store_sales_2022__1[[#This Row],[OrderDate]])</f>
        <v>2022</v>
      </c>
      <c r="N20" t="str" cm="1">
        <f t="array" ref="N20">_xlfn.IFS(L20&lt;500," VeryLow",L20&lt;1000,"Low",L20&lt;2000,"Medium",L20&lt;3000,"High",L20&lt;5000,"VeryHigh")</f>
        <v xml:space="preserve"> VeryLow</v>
      </c>
      <c r="O20" t="str" cm="1">
        <f t="array" ref="O20">_xlfn.IFS(G20&lt;0.09,"Low",G20&lt;0.2,"Medium",G20&lt;0.4,"High")</f>
        <v>Medium</v>
      </c>
    </row>
    <row r="21" spans="1:15" x14ac:dyDescent="0.3">
      <c r="A21">
        <v>10020</v>
      </c>
      <c r="B21" s="1">
        <v>44581</v>
      </c>
      <c r="C21">
        <v>2038</v>
      </c>
      <c r="D21" t="s">
        <v>12</v>
      </c>
      <c r="E21">
        <v>5</v>
      </c>
      <c r="F21">
        <v>351</v>
      </c>
      <c r="G21">
        <v>0.1</v>
      </c>
      <c r="H21" t="s">
        <v>17</v>
      </c>
      <c r="I21" t="s">
        <v>18</v>
      </c>
      <c r="J21">
        <f>amazon_store_sales_2022__1[[#This Row],[UnitPrice]]*amazon_store_sales_2022__1[[#This Row],[Quantity]]</f>
        <v>1755</v>
      </c>
      <c r="K21">
        <f>amazon_store_sales_2022__1[[#This Row],[Total ]]*amazon_store_sales_2022__1[[#This Row],[Discount]]</f>
        <v>175.5</v>
      </c>
      <c r="L21" s="13">
        <f>amazon_store_sales_2022__1[[#This Row],[Total ]]-amazon_store_sales_2022__1[[#This Row],[Total Discount]]</f>
        <v>1579.5</v>
      </c>
      <c r="M21">
        <f>YEAR(amazon_store_sales_2022__1[[#This Row],[OrderDate]])</f>
        <v>2022</v>
      </c>
      <c r="N21" t="str" cm="1">
        <f t="array" ref="N21">_xlfn.IFS(L21&lt;500," VeryLow",L21&lt;1000,"Low",L21&lt;2000,"Medium",L21&lt;3000,"High",L21&lt;5000,"VeryHigh")</f>
        <v>Medium</v>
      </c>
      <c r="O21" t="str" cm="1">
        <f t="array" ref="O21">_xlfn.IFS(G21&lt;0.09,"Low",G21&lt;0.2,"Medium",G21&lt;0.4,"High")</f>
        <v>Medium</v>
      </c>
    </row>
    <row r="22" spans="1:15" x14ac:dyDescent="0.3">
      <c r="A22">
        <v>10021</v>
      </c>
      <c r="B22" s="1">
        <v>44582</v>
      </c>
      <c r="C22">
        <v>2002</v>
      </c>
      <c r="D22" t="s">
        <v>16</v>
      </c>
      <c r="E22">
        <v>3</v>
      </c>
      <c r="F22">
        <v>98.66</v>
      </c>
      <c r="G22">
        <v>7.0000000000000007E-2</v>
      </c>
      <c r="H22" t="s">
        <v>20</v>
      </c>
      <c r="I22" t="s">
        <v>11</v>
      </c>
      <c r="J22">
        <f>amazon_store_sales_2022__1[[#This Row],[UnitPrice]]*amazon_store_sales_2022__1[[#This Row],[Quantity]]</f>
        <v>295.98</v>
      </c>
      <c r="K22">
        <f>amazon_store_sales_2022__1[[#This Row],[Total ]]*amazon_store_sales_2022__1[[#This Row],[Discount]]</f>
        <v>20.718600000000002</v>
      </c>
      <c r="L22" s="13">
        <f>amazon_store_sales_2022__1[[#This Row],[Total ]]-amazon_store_sales_2022__1[[#This Row],[Total Discount]]</f>
        <v>275.26140000000004</v>
      </c>
      <c r="M22">
        <f>YEAR(amazon_store_sales_2022__1[[#This Row],[OrderDate]])</f>
        <v>2022</v>
      </c>
      <c r="N22" t="str" cm="1">
        <f t="array" ref="N22">_xlfn.IFS(L22&lt;500," VeryLow",L22&lt;1000,"Low",L22&lt;2000,"Medium",L22&lt;3000,"High",L22&lt;5000,"VeryHigh")</f>
        <v xml:space="preserve"> VeryLow</v>
      </c>
      <c r="O22" t="str" cm="1">
        <f t="array" ref="O22">_xlfn.IFS(G22&lt;0.09,"Low",G22&lt;0.2,"Medium",G22&lt;0.4,"High")</f>
        <v>Low</v>
      </c>
    </row>
    <row r="23" spans="1:15" x14ac:dyDescent="0.3">
      <c r="A23">
        <v>10022</v>
      </c>
      <c r="B23" s="1">
        <v>44583</v>
      </c>
      <c r="C23">
        <v>2064</v>
      </c>
      <c r="D23" t="s">
        <v>9</v>
      </c>
      <c r="E23">
        <v>5</v>
      </c>
      <c r="F23">
        <v>441.41</v>
      </c>
      <c r="G23">
        <v>0.15</v>
      </c>
      <c r="H23" t="s">
        <v>17</v>
      </c>
      <c r="I23" t="s">
        <v>18</v>
      </c>
      <c r="J23">
        <f>amazon_store_sales_2022__1[[#This Row],[UnitPrice]]*amazon_store_sales_2022__1[[#This Row],[Quantity]]</f>
        <v>2207.0500000000002</v>
      </c>
      <c r="K23">
        <f>amazon_store_sales_2022__1[[#This Row],[Total ]]*amazon_store_sales_2022__1[[#This Row],[Discount]]</f>
        <v>331.0575</v>
      </c>
      <c r="L23" s="13">
        <f>amazon_store_sales_2022__1[[#This Row],[Total ]]-amazon_store_sales_2022__1[[#This Row],[Total Discount]]</f>
        <v>1875.9925000000003</v>
      </c>
      <c r="M23">
        <f>YEAR(amazon_store_sales_2022__1[[#This Row],[OrderDate]])</f>
        <v>2022</v>
      </c>
      <c r="N23" t="str" cm="1">
        <f t="array" ref="N23">_xlfn.IFS(L23&lt;500," VeryLow",L23&lt;1000,"Low",L23&lt;2000,"Medium",L23&lt;3000,"High",L23&lt;5000,"VeryHigh")</f>
        <v>Medium</v>
      </c>
      <c r="O23" t="str" cm="1">
        <f t="array" ref="O23">_xlfn.IFS(G23&lt;0.09,"Low",G23&lt;0.2,"Medium",G23&lt;0.4,"High")</f>
        <v>Medium</v>
      </c>
    </row>
    <row r="24" spans="1:15" x14ac:dyDescent="0.3">
      <c r="A24">
        <v>10023</v>
      </c>
      <c r="B24" s="1">
        <v>44584</v>
      </c>
      <c r="C24">
        <v>2060</v>
      </c>
      <c r="D24" t="s">
        <v>12</v>
      </c>
      <c r="E24">
        <v>5</v>
      </c>
      <c r="F24">
        <v>480.85</v>
      </c>
      <c r="G24">
        <v>0.25</v>
      </c>
      <c r="H24" t="s">
        <v>15</v>
      </c>
      <c r="I24" t="s">
        <v>18</v>
      </c>
      <c r="J24">
        <f>amazon_store_sales_2022__1[[#This Row],[UnitPrice]]*amazon_store_sales_2022__1[[#This Row],[Quantity]]</f>
        <v>2404.25</v>
      </c>
      <c r="K24">
        <f>amazon_store_sales_2022__1[[#This Row],[Total ]]*amazon_store_sales_2022__1[[#This Row],[Discount]]</f>
        <v>601.0625</v>
      </c>
      <c r="L24" s="13">
        <f>amazon_store_sales_2022__1[[#This Row],[Total ]]-amazon_store_sales_2022__1[[#This Row],[Total Discount]]</f>
        <v>1803.1875</v>
      </c>
      <c r="M24">
        <f>YEAR(amazon_store_sales_2022__1[[#This Row],[OrderDate]])</f>
        <v>2022</v>
      </c>
      <c r="N24" t="str" cm="1">
        <f t="array" ref="N24">_xlfn.IFS(L24&lt;500," VeryLow",L24&lt;1000,"Low",L24&lt;2000,"Medium",L24&lt;3000,"High",L24&lt;5000,"VeryHigh")</f>
        <v>Medium</v>
      </c>
      <c r="O24" t="str" cm="1">
        <f t="array" ref="O24">_xlfn.IFS(G24&lt;0.09,"Low",G24&lt;0.2,"Medium",G24&lt;0.4,"High")</f>
        <v>High</v>
      </c>
    </row>
    <row r="25" spans="1:15" x14ac:dyDescent="0.3">
      <c r="A25">
        <v>10024</v>
      </c>
      <c r="B25" s="1">
        <v>44585</v>
      </c>
      <c r="C25">
        <v>2021</v>
      </c>
      <c r="D25" t="s">
        <v>9</v>
      </c>
      <c r="E25">
        <v>5</v>
      </c>
      <c r="F25">
        <v>235.41</v>
      </c>
      <c r="G25">
        <v>0.08</v>
      </c>
      <c r="H25" t="s">
        <v>13</v>
      </c>
      <c r="I25" t="s">
        <v>11</v>
      </c>
      <c r="J25">
        <f>amazon_store_sales_2022__1[[#This Row],[UnitPrice]]*amazon_store_sales_2022__1[[#This Row],[Quantity]]</f>
        <v>1177.05</v>
      </c>
      <c r="K25">
        <f>amazon_store_sales_2022__1[[#This Row],[Total ]]*amazon_store_sales_2022__1[[#This Row],[Discount]]</f>
        <v>94.164000000000001</v>
      </c>
      <c r="L25" s="13">
        <f>amazon_store_sales_2022__1[[#This Row],[Total ]]-amazon_store_sales_2022__1[[#This Row],[Total Discount]]</f>
        <v>1082.886</v>
      </c>
      <c r="M25">
        <f>YEAR(amazon_store_sales_2022__1[[#This Row],[OrderDate]])</f>
        <v>2022</v>
      </c>
      <c r="N25" t="str" cm="1">
        <f t="array" ref="N25">_xlfn.IFS(L25&lt;500," VeryLow",L25&lt;1000,"Low",L25&lt;2000,"Medium",L25&lt;3000,"High",L25&lt;5000,"VeryHigh")</f>
        <v>Medium</v>
      </c>
      <c r="O25" t="str" cm="1">
        <f t="array" ref="O25">_xlfn.IFS(G25&lt;0.09,"Low",G25&lt;0.2,"Medium",G25&lt;0.4,"High")</f>
        <v>Low</v>
      </c>
    </row>
    <row r="26" spans="1:15" x14ac:dyDescent="0.3">
      <c r="A26">
        <v>10025</v>
      </c>
      <c r="B26" s="1">
        <v>44586</v>
      </c>
      <c r="C26">
        <v>2033</v>
      </c>
      <c r="D26" t="s">
        <v>12</v>
      </c>
      <c r="E26">
        <v>3</v>
      </c>
      <c r="F26">
        <v>440.14</v>
      </c>
      <c r="G26">
        <v>0.28000000000000003</v>
      </c>
      <c r="H26" t="s">
        <v>15</v>
      </c>
      <c r="I26" t="s">
        <v>11</v>
      </c>
      <c r="J26">
        <f>amazon_store_sales_2022__1[[#This Row],[UnitPrice]]*amazon_store_sales_2022__1[[#This Row],[Quantity]]</f>
        <v>1320.42</v>
      </c>
      <c r="K26">
        <f>amazon_store_sales_2022__1[[#This Row],[Total ]]*amazon_store_sales_2022__1[[#This Row],[Discount]]</f>
        <v>369.71760000000006</v>
      </c>
      <c r="L26" s="13">
        <f>amazon_store_sales_2022__1[[#This Row],[Total ]]-amazon_store_sales_2022__1[[#This Row],[Total Discount]]</f>
        <v>950.70240000000001</v>
      </c>
      <c r="M26">
        <f>YEAR(amazon_store_sales_2022__1[[#This Row],[OrderDate]])</f>
        <v>2022</v>
      </c>
      <c r="N26" t="str" cm="1">
        <f t="array" ref="N26">_xlfn.IFS(L26&lt;500," VeryLow",L26&lt;1000,"Low",L26&lt;2000,"Medium",L26&lt;3000,"High",L26&lt;5000,"VeryHigh")</f>
        <v>Low</v>
      </c>
      <c r="O26" t="str" cm="1">
        <f t="array" ref="O26">_xlfn.IFS(G26&lt;0.09,"Low",G26&lt;0.2,"Medium",G26&lt;0.4,"High")</f>
        <v>High</v>
      </c>
    </row>
    <row r="27" spans="1:15" x14ac:dyDescent="0.3">
      <c r="A27">
        <v>10026</v>
      </c>
      <c r="B27" s="1">
        <v>44587</v>
      </c>
      <c r="C27">
        <v>2076</v>
      </c>
      <c r="D27" t="s">
        <v>12</v>
      </c>
      <c r="E27">
        <v>4</v>
      </c>
      <c r="F27">
        <v>7.55</v>
      </c>
      <c r="G27">
        <v>0.26</v>
      </c>
      <c r="H27" t="s">
        <v>13</v>
      </c>
      <c r="I27" t="s">
        <v>18</v>
      </c>
      <c r="J27">
        <f>amazon_store_sales_2022__1[[#This Row],[UnitPrice]]*amazon_store_sales_2022__1[[#This Row],[Quantity]]</f>
        <v>30.2</v>
      </c>
      <c r="K27">
        <f>amazon_store_sales_2022__1[[#This Row],[Total ]]*amazon_store_sales_2022__1[[#This Row],[Discount]]</f>
        <v>7.8520000000000003</v>
      </c>
      <c r="L27" s="13">
        <f>amazon_store_sales_2022__1[[#This Row],[Total ]]-amazon_store_sales_2022__1[[#This Row],[Total Discount]]</f>
        <v>22.347999999999999</v>
      </c>
      <c r="M27">
        <f>YEAR(amazon_store_sales_2022__1[[#This Row],[OrderDate]])</f>
        <v>2022</v>
      </c>
      <c r="N27" t="str" cm="1">
        <f t="array" ref="N27">_xlfn.IFS(L27&lt;500," VeryLow",L27&lt;1000,"Low",L27&lt;2000,"Medium",L27&lt;3000,"High",L27&lt;5000,"VeryHigh")</f>
        <v xml:space="preserve"> VeryLow</v>
      </c>
      <c r="O27" t="str" cm="1">
        <f t="array" ref="O27">_xlfn.IFS(G27&lt;0.09,"Low",G27&lt;0.2,"Medium",G27&lt;0.4,"High")</f>
        <v>High</v>
      </c>
    </row>
    <row r="28" spans="1:15" x14ac:dyDescent="0.3">
      <c r="A28">
        <v>10027</v>
      </c>
      <c r="B28" s="1">
        <v>44588</v>
      </c>
      <c r="C28">
        <v>2058</v>
      </c>
      <c r="D28" t="s">
        <v>14</v>
      </c>
      <c r="E28">
        <v>9</v>
      </c>
      <c r="F28">
        <v>410.87</v>
      </c>
      <c r="G28">
        <v>0.05</v>
      </c>
      <c r="H28" t="s">
        <v>10</v>
      </c>
      <c r="I28" t="s">
        <v>11</v>
      </c>
      <c r="J28">
        <f>amazon_store_sales_2022__1[[#This Row],[UnitPrice]]*amazon_store_sales_2022__1[[#This Row],[Quantity]]</f>
        <v>3697.83</v>
      </c>
      <c r="K28">
        <f>amazon_store_sales_2022__1[[#This Row],[Total ]]*amazon_store_sales_2022__1[[#This Row],[Discount]]</f>
        <v>184.89150000000001</v>
      </c>
      <c r="L28" s="13">
        <f>amazon_store_sales_2022__1[[#This Row],[Total ]]-amazon_store_sales_2022__1[[#This Row],[Total Discount]]</f>
        <v>3512.9384999999997</v>
      </c>
      <c r="M28">
        <f>YEAR(amazon_store_sales_2022__1[[#This Row],[OrderDate]])</f>
        <v>2022</v>
      </c>
      <c r="N28" t="str" cm="1">
        <f t="array" ref="N28">_xlfn.IFS(L28&lt;500," VeryLow",L28&lt;1000,"Low",L28&lt;2000,"Medium",L28&lt;3000,"High",L28&lt;5000,"VeryHigh")</f>
        <v>VeryHigh</v>
      </c>
      <c r="O28" t="str" cm="1">
        <f t="array" ref="O28">_xlfn.IFS(G28&lt;0.09,"Low",G28&lt;0.2,"Medium",G28&lt;0.4,"High")</f>
        <v>Low</v>
      </c>
    </row>
    <row r="29" spans="1:15" x14ac:dyDescent="0.3">
      <c r="A29">
        <v>10028</v>
      </c>
      <c r="B29" s="1">
        <v>44589</v>
      </c>
      <c r="C29">
        <v>2022</v>
      </c>
      <c r="D29" t="s">
        <v>12</v>
      </c>
      <c r="E29">
        <v>9</v>
      </c>
      <c r="F29">
        <v>118.17</v>
      </c>
      <c r="G29">
        <v>0.24</v>
      </c>
      <c r="H29" t="s">
        <v>20</v>
      </c>
      <c r="I29" t="s">
        <v>11</v>
      </c>
      <c r="J29">
        <f>amazon_store_sales_2022__1[[#This Row],[UnitPrice]]*amazon_store_sales_2022__1[[#This Row],[Quantity]]</f>
        <v>1063.53</v>
      </c>
      <c r="K29">
        <f>amazon_store_sales_2022__1[[#This Row],[Total ]]*amazon_store_sales_2022__1[[#This Row],[Discount]]</f>
        <v>255.24719999999999</v>
      </c>
      <c r="L29" s="13">
        <f>amazon_store_sales_2022__1[[#This Row],[Total ]]-amazon_store_sales_2022__1[[#This Row],[Total Discount]]</f>
        <v>808.28279999999995</v>
      </c>
      <c r="M29">
        <f>YEAR(amazon_store_sales_2022__1[[#This Row],[OrderDate]])</f>
        <v>2022</v>
      </c>
      <c r="N29" t="str" cm="1">
        <f t="array" ref="N29">_xlfn.IFS(L29&lt;500," VeryLow",L29&lt;1000,"Low",L29&lt;2000,"Medium",L29&lt;3000,"High",L29&lt;5000,"VeryHigh")</f>
        <v>Low</v>
      </c>
      <c r="O29" t="str" cm="1">
        <f t="array" ref="O29">_xlfn.IFS(G29&lt;0.09,"Low",G29&lt;0.2,"Medium",G29&lt;0.4,"High")</f>
        <v>High</v>
      </c>
    </row>
    <row r="30" spans="1:15" x14ac:dyDescent="0.3">
      <c r="A30">
        <v>10029</v>
      </c>
      <c r="B30" s="1">
        <v>44590</v>
      </c>
      <c r="C30">
        <v>2089</v>
      </c>
      <c r="D30" t="s">
        <v>19</v>
      </c>
      <c r="E30">
        <v>2</v>
      </c>
      <c r="F30">
        <v>454.81</v>
      </c>
      <c r="G30">
        <v>0.17</v>
      </c>
      <c r="H30" t="s">
        <v>10</v>
      </c>
      <c r="I30" t="s">
        <v>18</v>
      </c>
      <c r="J30">
        <f>amazon_store_sales_2022__1[[#This Row],[UnitPrice]]*amazon_store_sales_2022__1[[#This Row],[Quantity]]</f>
        <v>909.62</v>
      </c>
      <c r="K30">
        <f>amazon_store_sales_2022__1[[#This Row],[Total ]]*amazon_store_sales_2022__1[[#This Row],[Discount]]</f>
        <v>154.6354</v>
      </c>
      <c r="L30" s="13">
        <f>amazon_store_sales_2022__1[[#This Row],[Total ]]-amazon_store_sales_2022__1[[#This Row],[Total Discount]]</f>
        <v>754.9846</v>
      </c>
      <c r="M30">
        <f>YEAR(amazon_store_sales_2022__1[[#This Row],[OrderDate]])</f>
        <v>2022</v>
      </c>
      <c r="N30" t="str" cm="1">
        <f t="array" ref="N30">_xlfn.IFS(L30&lt;500," VeryLow",L30&lt;1000,"Low",L30&lt;2000,"Medium",L30&lt;3000,"High",L30&lt;5000,"VeryHigh")</f>
        <v>Low</v>
      </c>
      <c r="O30" t="str" cm="1">
        <f t="array" ref="O30">_xlfn.IFS(G30&lt;0.09,"Low",G30&lt;0.2,"Medium",G30&lt;0.4,"High")</f>
        <v>Medium</v>
      </c>
    </row>
    <row r="31" spans="1:15" x14ac:dyDescent="0.3">
      <c r="A31">
        <v>10030</v>
      </c>
      <c r="B31" s="1">
        <v>44591</v>
      </c>
      <c r="C31">
        <v>2049</v>
      </c>
      <c r="D31" t="s">
        <v>16</v>
      </c>
      <c r="E31">
        <v>8</v>
      </c>
      <c r="F31">
        <v>5.55</v>
      </c>
      <c r="G31">
        <v>0.17</v>
      </c>
      <c r="H31" t="s">
        <v>10</v>
      </c>
      <c r="I31" t="s">
        <v>11</v>
      </c>
      <c r="J31">
        <f>amazon_store_sales_2022__1[[#This Row],[UnitPrice]]*amazon_store_sales_2022__1[[#This Row],[Quantity]]</f>
        <v>44.4</v>
      </c>
      <c r="K31">
        <f>amazon_store_sales_2022__1[[#This Row],[Total ]]*amazon_store_sales_2022__1[[#This Row],[Discount]]</f>
        <v>7.548</v>
      </c>
      <c r="L31" s="13">
        <f>amazon_store_sales_2022__1[[#This Row],[Total ]]-amazon_store_sales_2022__1[[#This Row],[Total Discount]]</f>
        <v>36.851999999999997</v>
      </c>
      <c r="M31">
        <f>YEAR(amazon_store_sales_2022__1[[#This Row],[OrderDate]])</f>
        <v>2022</v>
      </c>
      <c r="N31" t="str" cm="1">
        <f t="array" ref="N31">_xlfn.IFS(L31&lt;500," VeryLow",L31&lt;1000,"Low",L31&lt;2000,"Medium",L31&lt;3000,"High",L31&lt;5000,"VeryHigh")</f>
        <v xml:space="preserve"> VeryLow</v>
      </c>
      <c r="O31" t="str" cm="1">
        <f t="array" ref="O31">_xlfn.IFS(G31&lt;0.09,"Low",G31&lt;0.2,"Medium",G31&lt;0.4,"High")</f>
        <v>Medium</v>
      </c>
    </row>
    <row r="32" spans="1:15" x14ac:dyDescent="0.3">
      <c r="A32">
        <v>10031</v>
      </c>
      <c r="B32" s="1">
        <v>44592</v>
      </c>
      <c r="C32">
        <v>2091</v>
      </c>
      <c r="D32" t="s">
        <v>16</v>
      </c>
      <c r="E32">
        <v>8</v>
      </c>
      <c r="F32">
        <v>280.31</v>
      </c>
      <c r="G32">
        <v>0.12</v>
      </c>
      <c r="H32" t="s">
        <v>15</v>
      </c>
      <c r="I32" t="s">
        <v>11</v>
      </c>
      <c r="J32">
        <f>amazon_store_sales_2022__1[[#This Row],[UnitPrice]]*amazon_store_sales_2022__1[[#This Row],[Quantity]]</f>
        <v>2242.48</v>
      </c>
      <c r="K32">
        <f>amazon_store_sales_2022__1[[#This Row],[Total ]]*amazon_store_sales_2022__1[[#This Row],[Discount]]</f>
        <v>269.0976</v>
      </c>
      <c r="L32" s="13">
        <f>amazon_store_sales_2022__1[[#This Row],[Total ]]-amazon_store_sales_2022__1[[#This Row],[Total Discount]]</f>
        <v>1973.3824</v>
      </c>
      <c r="M32">
        <f>YEAR(amazon_store_sales_2022__1[[#This Row],[OrderDate]])</f>
        <v>2022</v>
      </c>
      <c r="N32" t="str" cm="1">
        <f t="array" ref="N32">_xlfn.IFS(L32&lt;500," VeryLow",L32&lt;1000,"Low",L32&lt;2000,"Medium",L32&lt;3000,"High",L32&lt;5000,"VeryHigh")</f>
        <v>Medium</v>
      </c>
      <c r="O32" t="str" cm="1">
        <f t="array" ref="O32">_xlfn.IFS(G32&lt;0.09,"Low",G32&lt;0.2,"Medium",G32&lt;0.4,"High")</f>
        <v>Medium</v>
      </c>
    </row>
    <row r="33" spans="1:15" x14ac:dyDescent="0.3">
      <c r="A33">
        <v>10032</v>
      </c>
      <c r="B33" s="1">
        <v>44593</v>
      </c>
      <c r="C33">
        <v>2059</v>
      </c>
      <c r="D33" t="s">
        <v>9</v>
      </c>
      <c r="E33">
        <v>7</v>
      </c>
      <c r="F33">
        <v>379.53</v>
      </c>
      <c r="G33">
        <v>0.15</v>
      </c>
      <c r="H33" t="s">
        <v>20</v>
      </c>
      <c r="I33" t="s">
        <v>18</v>
      </c>
      <c r="J33">
        <f>amazon_store_sales_2022__1[[#This Row],[UnitPrice]]*amazon_store_sales_2022__1[[#This Row],[Quantity]]</f>
        <v>2656.71</v>
      </c>
      <c r="K33">
        <f>amazon_store_sales_2022__1[[#This Row],[Total ]]*amazon_store_sales_2022__1[[#This Row],[Discount]]</f>
        <v>398.50650000000002</v>
      </c>
      <c r="L33" s="13">
        <f>amazon_store_sales_2022__1[[#This Row],[Total ]]-amazon_store_sales_2022__1[[#This Row],[Total Discount]]</f>
        <v>2258.2035000000001</v>
      </c>
      <c r="M33">
        <f>YEAR(amazon_store_sales_2022__1[[#This Row],[OrderDate]])</f>
        <v>2022</v>
      </c>
      <c r="N33" t="str" cm="1">
        <f t="array" ref="N33">_xlfn.IFS(L33&lt;500," VeryLow",L33&lt;1000,"Low",L33&lt;2000,"Medium",L33&lt;3000,"High",L33&lt;5000,"VeryHigh")</f>
        <v>High</v>
      </c>
      <c r="O33" t="str" cm="1">
        <f t="array" ref="O33">_xlfn.IFS(G33&lt;0.09,"Low",G33&lt;0.2,"Medium",G33&lt;0.4,"High")</f>
        <v>Medium</v>
      </c>
    </row>
    <row r="34" spans="1:15" x14ac:dyDescent="0.3">
      <c r="A34">
        <v>10033</v>
      </c>
      <c r="B34" s="1">
        <v>44594</v>
      </c>
      <c r="C34">
        <v>2042</v>
      </c>
      <c r="D34" t="s">
        <v>12</v>
      </c>
      <c r="E34">
        <v>8</v>
      </c>
      <c r="F34">
        <v>133.05000000000001</v>
      </c>
      <c r="G34">
        <v>0.12</v>
      </c>
      <c r="H34" t="s">
        <v>13</v>
      </c>
      <c r="I34" t="s">
        <v>11</v>
      </c>
      <c r="J34">
        <f>amazon_store_sales_2022__1[[#This Row],[UnitPrice]]*amazon_store_sales_2022__1[[#This Row],[Quantity]]</f>
        <v>1064.4000000000001</v>
      </c>
      <c r="K34">
        <f>amazon_store_sales_2022__1[[#This Row],[Total ]]*amazon_store_sales_2022__1[[#This Row],[Discount]]</f>
        <v>127.72800000000001</v>
      </c>
      <c r="L34" s="13">
        <f>amazon_store_sales_2022__1[[#This Row],[Total ]]-amazon_store_sales_2022__1[[#This Row],[Total Discount]]</f>
        <v>936.67200000000003</v>
      </c>
      <c r="M34">
        <f>YEAR(amazon_store_sales_2022__1[[#This Row],[OrderDate]])</f>
        <v>2022</v>
      </c>
      <c r="N34" t="str" cm="1">
        <f t="array" ref="N34">_xlfn.IFS(L34&lt;500," VeryLow",L34&lt;1000,"Low",L34&lt;2000,"Medium",L34&lt;3000,"High",L34&lt;5000,"VeryHigh")</f>
        <v>Low</v>
      </c>
      <c r="O34" t="str" cm="1">
        <f t="array" ref="O34">_xlfn.IFS(G34&lt;0.09,"Low",G34&lt;0.2,"Medium",G34&lt;0.4,"High")</f>
        <v>Medium</v>
      </c>
    </row>
    <row r="35" spans="1:15" x14ac:dyDescent="0.3">
      <c r="A35">
        <v>10034</v>
      </c>
      <c r="B35" s="1">
        <v>44595</v>
      </c>
      <c r="C35">
        <v>2092</v>
      </c>
      <c r="D35" t="s">
        <v>19</v>
      </c>
      <c r="E35">
        <v>3</v>
      </c>
      <c r="F35">
        <v>100.6</v>
      </c>
      <c r="G35">
        <v>0.16</v>
      </c>
      <c r="H35" t="s">
        <v>13</v>
      </c>
      <c r="I35" t="s">
        <v>18</v>
      </c>
      <c r="J35">
        <f>amazon_store_sales_2022__1[[#This Row],[UnitPrice]]*amazon_store_sales_2022__1[[#This Row],[Quantity]]</f>
        <v>301.79999999999995</v>
      </c>
      <c r="K35">
        <f>amazon_store_sales_2022__1[[#This Row],[Total ]]*amazon_store_sales_2022__1[[#This Row],[Discount]]</f>
        <v>48.287999999999997</v>
      </c>
      <c r="L35" s="13">
        <f>amazon_store_sales_2022__1[[#This Row],[Total ]]-amazon_store_sales_2022__1[[#This Row],[Total Discount]]</f>
        <v>253.51199999999994</v>
      </c>
      <c r="M35">
        <f>YEAR(amazon_store_sales_2022__1[[#This Row],[OrderDate]])</f>
        <v>2022</v>
      </c>
      <c r="N35" t="str" cm="1">
        <f t="array" ref="N35">_xlfn.IFS(L35&lt;500," VeryLow",L35&lt;1000,"Low",L35&lt;2000,"Medium",L35&lt;3000,"High",L35&lt;5000,"VeryHigh")</f>
        <v xml:space="preserve"> VeryLow</v>
      </c>
      <c r="O35" t="str" cm="1">
        <f t="array" ref="O35">_xlfn.IFS(G35&lt;0.09,"Low",G35&lt;0.2,"Medium",G35&lt;0.4,"High")</f>
        <v>Medium</v>
      </c>
    </row>
    <row r="36" spans="1:15" x14ac:dyDescent="0.3">
      <c r="A36">
        <v>10035</v>
      </c>
      <c r="B36" s="1">
        <v>44596</v>
      </c>
      <c r="C36">
        <v>2060</v>
      </c>
      <c r="D36" t="s">
        <v>9</v>
      </c>
      <c r="E36">
        <v>6</v>
      </c>
      <c r="F36">
        <v>46.63</v>
      </c>
      <c r="G36">
        <v>0.19</v>
      </c>
      <c r="H36" t="s">
        <v>17</v>
      </c>
      <c r="I36" t="s">
        <v>18</v>
      </c>
      <c r="J36">
        <f>amazon_store_sales_2022__1[[#This Row],[UnitPrice]]*amazon_store_sales_2022__1[[#This Row],[Quantity]]</f>
        <v>279.78000000000003</v>
      </c>
      <c r="K36">
        <f>amazon_store_sales_2022__1[[#This Row],[Total ]]*amazon_store_sales_2022__1[[#This Row],[Discount]]</f>
        <v>53.158200000000008</v>
      </c>
      <c r="L36" s="13">
        <f>amazon_store_sales_2022__1[[#This Row],[Total ]]-amazon_store_sales_2022__1[[#This Row],[Total Discount]]</f>
        <v>226.62180000000001</v>
      </c>
      <c r="M36">
        <f>YEAR(amazon_store_sales_2022__1[[#This Row],[OrderDate]])</f>
        <v>2022</v>
      </c>
      <c r="N36" t="str" cm="1">
        <f t="array" ref="N36">_xlfn.IFS(L36&lt;500," VeryLow",L36&lt;1000,"Low",L36&lt;2000,"Medium",L36&lt;3000,"High",L36&lt;5000,"VeryHigh")</f>
        <v xml:space="preserve"> VeryLow</v>
      </c>
      <c r="O36" t="str" cm="1">
        <f t="array" ref="O36">_xlfn.IFS(G36&lt;0.09,"Low",G36&lt;0.2,"Medium",G36&lt;0.4,"High")</f>
        <v>Medium</v>
      </c>
    </row>
    <row r="37" spans="1:15" x14ac:dyDescent="0.3">
      <c r="A37">
        <v>10036</v>
      </c>
      <c r="B37" s="1">
        <v>44597</v>
      </c>
      <c r="C37">
        <v>2080</v>
      </c>
      <c r="D37" t="s">
        <v>14</v>
      </c>
      <c r="E37">
        <v>1</v>
      </c>
      <c r="F37">
        <v>166.58</v>
      </c>
      <c r="G37">
        <v>0.2</v>
      </c>
      <c r="H37" t="s">
        <v>13</v>
      </c>
      <c r="I37" t="s">
        <v>11</v>
      </c>
      <c r="J37">
        <f>amazon_store_sales_2022__1[[#This Row],[UnitPrice]]*amazon_store_sales_2022__1[[#This Row],[Quantity]]</f>
        <v>166.58</v>
      </c>
      <c r="K37">
        <f>amazon_store_sales_2022__1[[#This Row],[Total ]]*amazon_store_sales_2022__1[[#This Row],[Discount]]</f>
        <v>33.316000000000003</v>
      </c>
      <c r="L37" s="13">
        <f>amazon_store_sales_2022__1[[#This Row],[Total ]]-amazon_store_sales_2022__1[[#This Row],[Total Discount]]</f>
        <v>133.26400000000001</v>
      </c>
      <c r="M37">
        <f>YEAR(amazon_store_sales_2022__1[[#This Row],[OrderDate]])</f>
        <v>2022</v>
      </c>
      <c r="N37" t="str" cm="1">
        <f t="array" ref="N37">_xlfn.IFS(L37&lt;500," VeryLow",L37&lt;1000,"Low",L37&lt;2000,"Medium",L37&lt;3000,"High",L37&lt;5000,"VeryHigh")</f>
        <v xml:space="preserve"> VeryLow</v>
      </c>
      <c r="O37" t="str" cm="1">
        <f t="array" ref="O37">_xlfn.IFS(G37&lt;0.09,"Low",G37&lt;0.2,"Medium",G37&lt;0.4,"High")</f>
        <v>High</v>
      </c>
    </row>
    <row r="38" spans="1:15" x14ac:dyDescent="0.3">
      <c r="A38">
        <v>10037</v>
      </c>
      <c r="B38" s="1">
        <v>44598</v>
      </c>
      <c r="C38">
        <v>2015</v>
      </c>
      <c r="D38" t="s">
        <v>9</v>
      </c>
      <c r="E38">
        <v>7</v>
      </c>
      <c r="F38">
        <v>282.12</v>
      </c>
      <c r="G38">
        <v>0.16</v>
      </c>
      <c r="H38" t="s">
        <v>15</v>
      </c>
      <c r="I38" t="s">
        <v>11</v>
      </c>
      <c r="J38">
        <f>amazon_store_sales_2022__1[[#This Row],[UnitPrice]]*amazon_store_sales_2022__1[[#This Row],[Quantity]]</f>
        <v>1974.8400000000001</v>
      </c>
      <c r="K38">
        <f>amazon_store_sales_2022__1[[#This Row],[Total ]]*amazon_store_sales_2022__1[[#This Row],[Discount]]</f>
        <v>315.9744</v>
      </c>
      <c r="L38" s="13">
        <f>amazon_store_sales_2022__1[[#This Row],[Total ]]-amazon_store_sales_2022__1[[#This Row],[Total Discount]]</f>
        <v>1658.8656000000001</v>
      </c>
      <c r="M38">
        <f>YEAR(amazon_store_sales_2022__1[[#This Row],[OrderDate]])</f>
        <v>2022</v>
      </c>
      <c r="N38" t="str" cm="1">
        <f t="array" ref="N38">_xlfn.IFS(L38&lt;500," VeryLow",L38&lt;1000,"Low",L38&lt;2000,"Medium",L38&lt;3000,"High",L38&lt;5000,"VeryHigh")</f>
        <v>Medium</v>
      </c>
      <c r="O38" t="str" cm="1">
        <f t="array" ref="O38">_xlfn.IFS(G38&lt;0.09,"Low",G38&lt;0.2,"Medium",G38&lt;0.4,"High")</f>
        <v>Medium</v>
      </c>
    </row>
    <row r="39" spans="1:15" x14ac:dyDescent="0.3">
      <c r="A39">
        <v>10038</v>
      </c>
      <c r="B39" s="1">
        <v>44599</v>
      </c>
      <c r="C39">
        <v>2062</v>
      </c>
      <c r="D39" t="s">
        <v>9</v>
      </c>
      <c r="E39">
        <v>1</v>
      </c>
      <c r="F39">
        <v>62.34</v>
      </c>
      <c r="G39">
        <v>0.22</v>
      </c>
      <c r="H39" t="s">
        <v>10</v>
      </c>
      <c r="I39" t="s">
        <v>11</v>
      </c>
      <c r="J39">
        <f>amazon_store_sales_2022__1[[#This Row],[UnitPrice]]*amazon_store_sales_2022__1[[#This Row],[Quantity]]</f>
        <v>62.34</v>
      </c>
      <c r="K39">
        <f>amazon_store_sales_2022__1[[#This Row],[Total ]]*amazon_store_sales_2022__1[[#This Row],[Discount]]</f>
        <v>13.7148</v>
      </c>
      <c r="L39" s="13">
        <f>amazon_store_sales_2022__1[[#This Row],[Total ]]-amazon_store_sales_2022__1[[#This Row],[Total Discount]]</f>
        <v>48.625200000000007</v>
      </c>
      <c r="M39">
        <f>YEAR(amazon_store_sales_2022__1[[#This Row],[OrderDate]])</f>
        <v>2022</v>
      </c>
      <c r="N39" t="str" cm="1">
        <f t="array" ref="N39">_xlfn.IFS(L39&lt;500," VeryLow",L39&lt;1000,"Low",L39&lt;2000,"Medium",L39&lt;3000,"High",L39&lt;5000,"VeryHigh")</f>
        <v xml:space="preserve"> VeryLow</v>
      </c>
      <c r="O39" t="str" cm="1">
        <f t="array" ref="O39">_xlfn.IFS(G39&lt;0.09,"Low",G39&lt;0.2,"Medium",G39&lt;0.4,"High")</f>
        <v>High</v>
      </c>
    </row>
    <row r="40" spans="1:15" x14ac:dyDescent="0.3">
      <c r="A40">
        <v>10039</v>
      </c>
      <c r="B40" s="1">
        <v>44600</v>
      </c>
      <c r="C40">
        <v>2062</v>
      </c>
      <c r="D40" t="s">
        <v>12</v>
      </c>
      <c r="E40">
        <v>9</v>
      </c>
      <c r="F40">
        <v>191.46</v>
      </c>
      <c r="G40">
        <v>0.04</v>
      </c>
      <c r="H40" t="s">
        <v>10</v>
      </c>
      <c r="I40" t="s">
        <v>18</v>
      </c>
      <c r="J40">
        <f>amazon_store_sales_2022__1[[#This Row],[UnitPrice]]*amazon_store_sales_2022__1[[#This Row],[Quantity]]</f>
        <v>1723.14</v>
      </c>
      <c r="K40">
        <f>amazon_store_sales_2022__1[[#This Row],[Total ]]*amazon_store_sales_2022__1[[#This Row],[Discount]]</f>
        <v>68.925600000000003</v>
      </c>
      <c r="L40" s="13">
        <f>amazon_store_sales_2022__1[[#This Row],[Total ]]-amazon_store_sales_2022__1[[#This Row],[Total Discount]]</f>
        <v>1654.2144000000001</v>
      </c>
      <c r="M40">
        <f>YEAR(amazon_store_sales_2022__1[[#This Row],[OrderDate]])</f>
        <v>2022</v>
      </c>
      <c r="N40" t="str" cm="1">
        <f t="array" ref="N40">_xlfn.IFS(L40&lt;500," VeryLow",L40&lt;1000,"Low",L40&lt;2000,"Medium",L40&lt;3000,"High",L40&lt;5000,"VeryHigh")</f>
        <v>Medium</v>
      </c>
      <c r="O40" t="str" cm="1">
        <f t="array" ref="O40">_xlfn.IFS(G40&lt;0.09,"Low",G40&lt;0.2,"Medium",G40&lt;0.4,"High")</f>
        <v>Low</v>
      </c>
    </row>
    <row r="41" spans="1:15" x14ac:dyDescent="0.3">
      <c r="A41">
        <v>10040</v>
      </c>
      <c r="B41" s="1">
        <v>44601</v>
      </c>
      <c r="C41">
        <v>2047</v>
      </c>
      <c r="D41" t="s">
        <v>14</v>
      </c>
      <c r="E41">
        <v>1</v>
      </c>
      <c r="F41">
        <v>9.49</v>
      </c>
      <c r="G41">
        <v>0.06</v>
      </c>
      <c r="H41" t="s">
        <v>10</v>
      </c>
      <c r="I41" t="s">
        <v>11</v>
      </c>
      <c r="J41">
        <f>amazon_store_sales_2022__1[[#This Row],[UnitPrice]]*amazon_store_sales_2022__1[[#This Row],[Quantity]]</f>
        <v>9.49</v>
      </c>
      <c r="K41">
        <f>amazon_store_sales_2022__1[[#This Row],[Total ]]*amazon_store_sales_2022__1[[#This Row],[Discount]]</f>
        <v>0.56940000000000002</v>
      </c>
      <c r="L41" s="13">
        <f>amazon_store_sales_2022__1[[#This Row],[Total ]]-amazon_store_sales_2022__1[[#This Row],[Total Discount]]</f>
        <v>8.9206000000000003</v>
      </c>
      <c r="M41">
        <f>YEAR(amazon_store_sales_2022__1[[#This Row],[OrderDate]])</f>
        <v>2022</v>
      </c>
      <c r="N41" t="str" cm="1">
        <f t="array" ref="N41">_xlfn.IFS(L41&lt;500," VeryLow",L41&lt;1000,"Low",L41&lt;2000,"Medium",L41&lt;3000,"High",L41&lt;5000,"VeryHigh")</f>
        <v xml:space="preserve"> VeryLow</v>
      </c>
      <c r="O41" t="str" cm="1">
        <f t="array" ref="O41">_xlfn.IFS(G41&lt;0.09,"Low",G41&lt;0.2,"Medium",G41&lt;0.4,"High")</f>
        <v>Low</v>
      </c>
    </row>
    <row r="42" spans="1:15" x14ac:dyDescent="0.3">
      <c r="A42">
        <v>10041</v>
      </c>
      <c r="B42" s="1">
        <v>44602</v>
      </c>
      <c r="C42">
        <v>2062</v>
      </c>
      <c r="D42" t="s">
        <v>9</v>
      </c>
      <c r="E42">
        <v>1</v>
      </c>
      <c r="F42">
        <v>410.25</v>
      </c>
      <c r="G42">
        <v>0.25</v>
      </c>
      <c r="H42" t="s">
        <v>20</v>
      </c>
      <c r="I42" t="s">
        <v>18</v>
      </c>
      <c r="J42">
        <f>amazon_store_sales_2022__1[[#This Row],[UnitPrice]]*amazon_store_sales_2022__1[[#This Row],[Quantity]]</f>
        <v>410.25</v>
      </c>
      <c r="K42">
        <f>amazon_store_sales_2022__1[[#This Row],[Total ]]*amazon_store_sales_2022__1[[#This Row],[Discount]]</f>
        <v>102.5625</v>
      </c>
      <c r="L42" s="13">
        <f>amazon_store_sales_2022__1[[#This Row],[Total ]]-amazon_store_sales_2022__1[[#This Row],[Total Discount]]</f>
        <v>307.6875</v>
      </c>
      <c r="M42">
        <f>YEAR(amazon_store_sales_2022__1[[#This Row],[OrderDate]])</f>
        <v>2022</v>
      </c>
      <c r="N42" t="str" cm="1">
        <f t="array" ref="N42">_xlfn.IFS(L42&lt;500," VeryLow",L42&lt;1000,"Low",L42&lt;2000,"Medium",L42&lt;3000,"High",L42&lt;5000,"VeryHigh")</f>
        <v xml:space="preserve"> VeryLow</v>
      </c>
      <c r="O42" t="str" cm="1">
        <f t="array" ref="O42">_xlfn.IFS(G42&lt;0.09,"Low",G42&lt;0.2,"Medium",G42&lt;0.4,"High")</f>
        <v>High</v>
      </c>
    </row>
    <row r="43" spans="1:15" x14ac:dyDescent="0.3">
      <c r="A43">
        <v>10042</v>
      </c>
      <c r="B43" s="1">
        <v>44603</v>
      </c>
      <c r="C43">
        <v>2051</v>
      </c>
      <c r="D43" t="s">
        <v>19</v>
      </c>
      <c r="E43">
        <v>7</v>
      </c>
      <c r="F43">
        <v>68.58</v>
      </c>
      <c r="G43">
        <v>0.1</v>
      </c>
      <c r="H43" t="s">
        <v>13</v>
      </c>
      <c r="I43" t="s">
        <v>11</v>
      </c>
      <c r="J43">
        <f>amazon_store_sales_2022__1[[#This Row],[UnitPrice]]*amazon_store_sales_2022__1[[#This Row],[Quantity]]</f>
        <v>480.06</v>
      </c>
      <c r="K43">
        <f>amazon_store_sales_2022__1[[#This Row],[Total ]]*amazon_store_sales_2022__1[[#This Row],[Discount]]</f>
        <v>48.006</v>
      </c>
      <c r="L43" s="13">
        <f>amazon_store_sales_2022__1[[#This Row],[Total ]]-amazon_store_sales_2022__1[[#This Row],[Total Discount]]</f>
        <v>432.05399999999997</v>
      </c>
      <c r="M43">
        <f>YEAR(amazon_store_sales_2022__1[[#This Row],[OrderDate]])</f>
        <v>2022</v>
      </c>
      <c r="N43" t="str" cm="1">
        <f t="array" ref="N43">_xlfn.IFS(L43&lt;500," VeryLow",L43&lt;1000,"Low",L43&lt;2000,"Medium",L43&lt;3000,"High",L43&lt;5000,"VeryHigh")</f>
        <v xml:space="preserve"> VeryLow</v>
      </c>
      <c r="O43" t="str" cm="1">
        <f t="array" ref="O43">_xlfn.IFS(G43&lt;0.09,"Low",G43&lt;0.2,"Medium",G43&lt;0.4,"High")</f>
        <v>Medium</v>
      </c>
    </row>
    <row r="44" spans="1:15" x14ac:dyDescent="0.3">
      <c r="A44">
        <v>10043</v>
      </c>
      <c r="B44" s="1">
        <v>44604</v>
      </c>
      <c r="C44">
        <v>2055</v>
      </c>
      <c r="D44" t="s">
        <v>19</v>
      </c>
      <c r="E44">
        <v>2</v>
      </c>
      <c r="F44">
        <v>145.25</v>
      </c>
      <c r="G44">
        <v>0.01</v>
      </c>
      <c r="H44" t="s">
        <v>15</v>
      </c>
      <c r="I44" t="s">
        <v>11</v>
      </c>
      <c r="J44">
        <f>amazon_store_sales_2022__1[[#This Row],[UnitPrice]]*amazon_store_sales_2022__1[[#This Row],[Quantity]]</f>
        <v>290.5</v>
      </c>
      <c r="K44">
        <f>amazon_store_sales_2022__1[[#This Row],[Total ]]*amazon_store_sales_2022__1[[#This Row],[Discount]]</f>
        <v>2.9050000000000002</v>
      </c>
      <c r="L44" s="13">
        <f>amazon_store_sales_2022__1[[#This Row],[Total ]]-amazon_store_sales_2022__1[[#This Row],[Total Discount]]</f>
        <v>287.59500000000003</v>
      </c>
      <c r="M44">
        <f>YEAR(amazon_store_sales_2022__1[[#This Row],[OrderDate]])</f>
        <v>2022</v>
      </c>
      <c r="N44" t="str" cm="1">
        <f t="array" ref="N44">_xlfn.IFS(L44&lt;500," VeryLow",L44&lt;1000,"Low",L44&lt;2000,"Medium",L44&lt;3000,"High",L44&lt;5000,"VeryHigh")</f>
        <v xml:space="preserve"> VeryLow</v>
      </c>
      <c r="O44" t="str" cm="1">
        <f t="array" ref="O44">_xlfn.IFS(G44&lt;0.09,"Low",G44&lt;0.2,"Medium",G44&lt;0.4,"High")</f>
        <v>Low</v>
      </c>
    </row>
    <row r="45" spans="1:15" x14ac:dyDescent="0.3">
      <c r="A45">
        <v>10044</v>
      </c>
      <c r="B45" s="1">
        <v>44605</v>
      </c>
      <c r="C45">
        <v>2064</v>
      </c>
      <c r="D45" t="s">
        <v>16</v>
      </c>
      <c r="E45">
        <v>5</v>
      </c>
      <c r="F45">
        <v>14.12</v>
      </c>
      <c r="G45">
        <v>0.05</v>
      </c>
      <c r="H45" t="s">
        <v>20</v>
      </c>
      <c r="I45" t="s">
        <v>11</v>
      </c>
      <c r="J45">
        <f>amazon_store_sales_2022__1[[#This Row],[UnitPrice]]*amazon_store_sales_2022__1[[#This Row],[Quantity]]</f>
        <v>70.599999999999994</v>
      </c>
      <c r="K45">
        <f>amazon_store_sales_2022__1[[#This Row],[Total ]]*amazon_store_sales_2022__1[[#This Row],[Discount]]</f>
        <v>3.53</v>
      </c>
      <c r="L45" s="13">
        <f>amazon_store_sales_2022__1[[#This Row],[Total ]]-amazon_store_sales_2022__1[[#This Row],[Total Discount]]</f>
        <v>67.069999999999993</v>
      </c>
      <c r="M45">
        <f>YEAR(amazon_store_sales_2022__1[[#This Row],[OrderDate]])</f>
        <v>2022</v>
      </c>
      <c r="N45" t="str" cm="1">
        <f t="array" ref="N45">_xlfn.IFS(L45&lt;500," VeryLow",L45&lt;1000,"Low",L45&lt;2000,"Medium",L45&lt;3000,"High",L45&lt;5000,"VeryHigh")</f>
        <v xml:space="preserve"> VeryLow</v>
      </c>
      <c r="O45" t="str" cm="1">
        <f t="array" ref="O45">_xlfn.IFS(G45&lt;0.09,"Low",G45&lt;0.2,"Medium",G45&lt;0.4,"High")</f>
        <v>Low</v>
      </c>
    </row>
    <row r="46" spans="1:15" x14ac:dyDescent="0.3">
      <c r="A46">
        <v>10045</v>
      </c>
      <c r="B46" s="1">
        <v>44606</v>
      </c>
      <c r="C46">
        <v>2003</v>
      </c>
      <c r="D46" t="s">
        <v>14</v>
      </c>
      <c r="E46">
        <v>8</v>
      </c>
      <c r="F46">
        <v>218.96</v>
      </c>
      <c r="G46">
        <v>7.0000000000000007E-2</v>
      </c>
      <c r="H46" t="s">
        <v>17</v>
      </c>
      <c r="I46" t="s">
        <v>18</v>
      </c>
      <c r="J46">
        <f>amazon_store_sales_2022__1[[#This Row],[UnitPrice]]*amazon_store_sales_2022__1[[#This Row],[Quantity]]</f>
        <v>1751.68</v>
      </c>
      <c r="K46">
        <f>amazon_store_sales_2022__1[[#This Row],[Total ]]*amazon_store_sales_2022__1[[#This Row],[Discount]]</f>
        <v>122.61760000000001</v>
      </c>
      <c r="L46" s="13">
        <f>amazon_store_sales_2022__1[[#This Row],[Total ]]-amazon_store_sales_2022__1[[#This Row],[Total Discount]]</f>
        <v>1629.0624</v>
      </c>
      <c r="M46">
        <f>YEAR(amazon_store_sales_2022__1[[#This Row],[OrderDate]])</f>
        <v>2022</v>
      </c>
      <c r="N46" t="str" cm="1">
        <f t="array" ref="N46">_xlfn.IFS(L46&lt;500," VeryLow",L46&lt;1000,"Low",L46&lt;2000,"Medium",L46&lt;3000,"High",L46&lt;5000,"VeryHigh")</f>
        <v>Medium</v>
      </c>
      <c r="O46" t="str" cm="1">
        <f t="array" ref="O46">_xlfn.IFS(G46&lt;0.09,"Low",G46&lt;0.2,"Medium",G46&lt;0.4,"High")</f>
        <v>Low</v>
      </c>
    </row>
    <row r="47" spans="1:15" x14ac:dyDescent="0.3">
      <c r="A47">
        <v>10046</v>
      </c>
      <c r="B47" s="1">
        <v>44607</v>
      </c>
      <c r="C47">
        <v>2051</v>
      </c>
      <c r="D47" t="s">
        <v>14</v>
      </c>
      <c r="E47">
        <v>8</v>
      </c>
      <c r="F47">
        <v>420.86</v>
      </c>
      <c r="G47">
        <v>0.28999999999999998</v>
      </c>
      <c r="H47" t="s">
        <v>15</v>
      </c>
      <c r="I47" t="s">
        <v>11</v>
      </c>
      <c r="J47">
        <f>amazon_store_sales_2022__1[[#This Row],[UnitPrice]]*amazon_store_sales_2022__1[[#This Row],[Quantity]]</f>
        <v>3366.88</v>
      </c>
      <c r="K47">
        <f>amazon_store_sales_2022__1[[#This Row],[Total ]]*amazon_store_sales_2022__1[[#This Row],[Discount]]</f>
        <v>976.39519999999993</v>
      </c>
      <c r="L47" s="13">
        <f>amazon_store_sales_2022__1[[#This Row],[Total ]]-amazon_store_sales_2022__1[[#This Row],[Total Discount]]</f>
        <v>2390.4848000000002</v>
      </c>
      <c r="M47">
        <f>YEAR(amazon_store_sales_2022__1[[#This Row],[OrderDate]])</f>
        <v>2022</v>
      </c>
      <c r="N47" t="str" cm="1">
        <f t="array" ref="N47">_xlfn.IFS(L47&lt;500," VeryLow",L47&lt;1000,"Low",L47&lt;2000,"Medium",L47&lt;3000,"High",L47&lt;5000,"VeryHigh")</f>
        <v>High</v>
      </c>
      <c r="O47" t="str" cm="1">
        <f t="array" ref="O47">_xlfn.IFS(G47&lt;0.09,"Low",G47&lt;0.2,"Medium",G47&lt;0.4,"High")</f>
        <v>High</v>
      </c>
    </row>
    <row r="48" spans="1:15" x14ac:dyDescent="0.3">
      <c r="A48">
        <v>10047</v>
      </c>
      <c r="B48" s="1">
        <v>44608</v>
      </c>
      <c r="C48">
        <v>2007</v>
      </c>
      <c r="D48" t="s">
        <v>16</v>
      </c>
      <c r="E48">
        <v>3</v>
      </c>
      <c r="F48">
        <v>199.11</v>
      </c>
      <c r="G48">
        <v>0.17</v>
      </c>
      <c r="H48" t="s">
        <v>15</v>
      </c>
      <c r="I48" t="s">
        <v>11</v>
      </c>
      <c r="J48">
        <f>amazon_store_sales_2022__1[[#This Row],[UnitPrice]]*amazon_store_sales_2022__1[[#This Row],[Quantity]]</f>
        <v>597.33000000000004</v>
      </c>
      <c r="K48">
        <f>amazon_store_sales_2022__1[[#This Row],[Total ]]*amazon_store_sales_2022__1[[#This Row],[Discount]]</f>
        <v>101.54610000000001</v>
      </c>
      <c r="L48" s="13">
        <f>amazon_store_sales_2022__1[[#This Row],[Total ]]-amazon_store_sales_2022__1[[#This Row],[Total Discount]]</f>
        <v>495.78390000000002</v>
      </c>
      <c r="M48">
        <f>YEAR(amazon_store_sales_2022__1[[#This Row],[OrderDate]])</f>
        <v>2022</v>
      </c>
      <c r="N48" t="str" cm="1">
        <f t="array" ref="N48">_xlfn.IFS(L48&lt;500," VeryLow",L48&lt;1000,"Low",L48&lt;2000,"Medium",L48&lt;3000,"High",L48&lt;5000,"VeryHigh")</f>
        <v xml:space="preserve"> VeryLow</v>
      </c>
      <c r="O48" t="str" cm="1">
        <f t="array" ref="O48">_xlfn.IFS(G48&lt;0.09,"Low",G48&lt;0.2,"Medium",G48&lt;0.4,"High")</f>
        <v>Medium</v>
      </c>
    </row>
    <row r="49" spans="1:15" x14ac:dyDescent="0.3">
      <c r="A49">
        <v>10048</v>
      </c>
      <c r="B49" s="1">
        <v>44609</v>
      </c>
      <c r="C49">
        <v>2021</v>
      </c>
      <c r="D49" t="s">
        <v>9</v>
      </c>
      <c r="E49">
        <v>7</v>
      </c>
      <c r="F49">
        <v>93.85</v>
      </c>
      <c r="G49">
        <v>0.28000000000000003</v>
      </c>
      <c r="H49" t="s">
        <v>15</v>
      </c>
      <c r="I49" t="s">
        <v>18</v>
      </c>
      <c r="J49">
        <f>amazon_store_sales_2022__1[[#This Row],[UnitPrice]]*amazon_store_sales_2022__1[[#This Row],[Quantity]]</f>
        <v>656.94999999999993</v>
      </c>
      <c r="K49">
        <f>amazon_store_sales_2022__1[[#This Row],[Total ]]*amazon_store_sales_2022__1[[#This Row],[Discount]]</f>
        <v>183.946</v>
      </c>
      <c r="L49" s="13">
        <f>amazon_store_sales_2022__1[[#This Row],[Total ]]-amazon_store_sales_2022__1[[#This Row],[Total Discount]]</f>
        <v>473.00399999999991</v>
      </c>
      <c r="M49">
        <f>YEAR(amazon_store_sales_2022__1[[#This Row],[OrderDate]])</f>
        <v>2022</v>
      </c>
      <c r="N49" t="str" cm="1">
        <f t="array" ref="N49">_xlfn.IFS(L49&lt;500," VeryLow",L49&lt;1000,"Low",L49&lt;2000,"Medium",L49&lt;3000,"High",L49&lt;5000,"VeryHigh")</f>
        <v xml:space="preserve"> VeryLow</v>
      </c>
      <c r="O49" t="str" cm="1">
        <f t="array" ref="O49">_xlfn.IFS(G49&lt;0.09,"Low",G49&lt;0.2,"Medium",G49&lt;0.4,"High")</f>
        <v>High</v>
      </c>
    </row>
    <row r="50" spans="1:15" x14ac:dyDescent="0.3">
      <c r="A50">
        <v>10049</v>
      </c>
      <c r="B50" s="1">
        <v>44610</v>
      </c>
      <c r="C50">
        <v>2073</v>
      </c>
      <c r="D50" t="s">
        <v>14</v>
      </c>
      <c r="E50">
        <v>3</v>
      </c>
      <c r="F50">
        <v>378.08</v>
      </c>
      <c r="G50">
        <v>0.17</v>
      </c>
      <c r="H50" t="s">
        <v>10</v>
      </c>
      <c r="I50" t="s">
        <v>18</v>
      </c>
      <c r="J50">
        <f>amazon_store_sales_2022__1[[#This Row],[UnitPrice]]*amazon_store_sales_2022__1[[#This Row],[Quantity]]</f>
        <v>1134.24</v>
      </c>
      <c r="K50">
        <f>amazon_store_sales_2022__1[[#This Row],[Total ]]*amazon_store_sales_2022__1[[#This Row],[Discount]]</f>
        <v>192.82080000000002</v>
      </c>
      <c r="L50" s="13">
        <f>amazon_store_sales_2022__1[[#This Row],[Total ]]-amazon_store_sales_2022__1[[#This Row],[Total Discount]]</f>
        <v>941.41920000000005</v>
      </c>
      <c r="M50">
        <f>YEAR(amazon_store_sales_2022__1[[#This Row],[OrderDate]])</f>
        <v>2022</v>
      </c>
      <c r="N50" t="str" cm="1">
        <f t="array" ref="N50">_xlfn.IFS(L50&lt;500," VeryLow",L50&lt;1000,"Low",L50&lt;2000,"Medium",L50&lt;3000,"High",L50&lt;5000,"VeryHigh")</f>
        <v>Low</v>
      </c>
      <c r="O50" t="str" cm="1">
        <f t="array" ref="O50">_xlfn.IFS(G50&lt;0.09,"Low",G50&lt;0.2,"Medium",G50&lt;0.4,"High")</f>
        <v>Medium</v>
      </c>
    </row>
    <row r="51" spans="1:15" x14ac:dyDescent="0.3">
      <c r="A51">
        <v>10050</v>
      </c>
      <c r="B51" s="1">
        <v>44611</v>
      </c>
      <c r="C51">
        <v>2039</v>
      </c>
      <c r="D51" t="s">
        <v>19</v>
      </c>
      <c r="E51">
        <v>6</v>
      </c>
      <c r="F51">
        <v>395.46</v>
      </c>
      <c r="G51">
        <v>0.14000000000000001</v>
      </c>
      <c r="H51" t="s">
        <v>15</v>
      </c>
      <c r="I51" t="s">
        <v>11</v>
      </c>
      <c r="J51">
        <f>amazon_store_sales_2022__1[[#This Row],[UnitPrice]]*amazon_store_sales_2022__1[[#This Row],[Quantity]]</f>
        <v>2372.7599999999998</v>
      </c>
      <c r="K51">
        <f>amazon_store_sales_2022__1[[#This Row],[Total ]]*amazon_store_sales_2022__1[[#This Row],[Discount]]</f>
        <v>332.18639999999999</v>
      </c>
      <c r="L51" s="13">
        <f>amazon_store_sales_2022__1[[#This Row],[Total ]]-amazon_store_sales_2022__1[[#This Row],[Total Discount]]</f>
        <v>2040.5735999999997</v>
      </c>
      <c r="M51">
        <f>YEAR(amazon_store_sales_2022__1[[#This Row],[OrderDate]])</f>
        <v>2022</v>
      </c>
      <c r="N51" t="str" cm="1">
        <f t="array" ref="N51">_xlfn.IFS(L51&lt;500," VeryLow",L51&lt;1000,"Low",L51&lt;2000,"Medium",L51&lt;3000,"High",L51&lt;5000,"VeryHigh")</f>
        <v>High</v>
      </c>
      <c r="O51" t="str" cm="1">
        <f t="array" ref="O51">_xlfn.IFS(G51&lt;0.09,"Low",G51&lt;0.2,"Medium",G51&lt;0.4,"High")</f>
        <v>Medium</v>
      </c>
    </row>
    <row r="52" spans="1:15" x14ac:dyDescent="0.3">
      <c r="A52">
        <v>10051</v>
      </c>
      <c r="B52" s="1">
        <v>44612</v>
      </c>
      <c r="C52">
        <v>2018</v>
      </c>
      <c r="D52" t="s">
        <v>19</v>
      </c>
      <c r="E52">
        <v>6</v>
      </c>
      <c r="F52">
        <v>91.01</v>
      </c>
      <c r="G52">
        <v>0.09</v>
      </c>
      <c r="H52" t="s">
        <v>13</v>
      </c>
      <c r="I52" t="s">
        <v>11</v>
      </c>
      <c r="J52">
        <f>amazon_store_sales_2022__1[[#This Row],[UnitPrice]]*amazon_store_sales_2022__1[[#This Row],[Quantity]]</f>
        <v>546.06000000000006</v>
      </c>
      <c r="K52">
        <f>amazon_store_sales_2022__1[[#This Row],[Total ]]*amazon_store_sales_2022__1[[#This Row],[Discount]]</f>
        <v>49.145400000000002</v>
      </c>
      <c r="L52" s="13">
        <f>amazon_store_sales_2022__1[[#This Row],[Total ]]-amazon_store_sales_2022__1[[#This Row],[Total Discount]]</f>
        <v>496.91460000000006</v>
      </c>
      <c r="M52">
        <f>YEAR(amazon_store_sales_2022__1[[#This Row],[OrderDate]])</f>
        <v>2022</v>
      </c>
      <c r="N52" t="str" cm="1">
        <f t="array" ref="N52">_xlfn.IFS(L52&lt;500," VeryLow",L52&lt;1000,"Low",L52&lt;2000,"Medium",L52&lt;3000,"High",L52&lt;5000,"VeryHigh")</f>
        <v xml:space="preserve"> VeryLow</v>
      </c>
      <c r="O52" t="str" cm="1">
        <f t="array" ref="O52">_xlfn.IFS(G52&lt;0.09,"Low",G52&lt;0.2,"Medium",G52&lt;0.4,"High")</f>
        <v>Medium</v>
      </c>
    </row>
    <row r="53" spans="1:15" x14ac:dyDescent="0.3">
      <c r="A53">
        <v>10052</v>
      </c>
      <c r="B53" s="1">
        <v>44613</v>
      </c>
      <c r="C53">
        <v>2004</v>
      </c>
      <c r="D53" t="s">
        <v>12</v>
      </c>
      <c r="E53">
        <v>3</v>
      </c>
      <c r="F53">
        <v>386.57</v>
      </c>
      <c r="G53">
        <v>0.18</v>
      </c>
      <c r="H53" t="s">
        <v>15</v>
      </c>
      <c r="I53" t="s">
        <v>11</v>
      </c>
      <c r="J53">
        <f>amazon_store_sales_2022__1[[#This Row],[UnitPrice]]*amazon_store_sales_2022__1[[#This Row],[Quantity]]</f>
        <v>1159.71</v>
      </c>
      <c r="K53">
        <f>amazon_store_sales_2022__1[[#This Row],[Total ]]*amazon_store_sales_2022__1[[#This Row],[Discount]]</f>
        <v>208.74780000000001</v>
      </c>
      <c r="L53" s="13">
        <f>amazon_store_sales_2022__1[[#This Row],[Total ]]-amazon_store_sales_2022__1[[#This Row],[Total Discount]]</f>
        <v>950.96220000000005</v>
      </c>
      <c r="M53">
        <f>YEAR(amazon_store_sales_2022__1[[#This Row],[OrderDate]])</f>
        <v>2022</v>
      </c>
      <c r="N53" t="str" cm="1">
        <f t="array" ref="N53">_xlfn.IFS(L53&lt;500," VeryLow",L53&lt;1000,"Low",L53&lt;2000,"Medium",L53&lt;3000,"High",L53&lt;5000,"VeryHigh")</f>
        <v>Low</v>
      </c>
      <c r="O53" t="str" cm="1">
        <f t="array" ref="O53">_xlfn.IFS(G53&lt;0.09,"Low",G53&lt;0.2,"Medium",G53&lt;0.4,"High")</f>
        <v>Medium</v>
      </c>
    </row>
    <row r="54" spans="1:15" x14ac:dyDescent="0.3">
      <c r="A54">
        <v>10053</v>
      </c>
      <c r="B54" s="1">
        <v>44614</v>
      </c>
      <c r="C54">
        <v>2089</v>
      </c>
      <c r="D54" t="s">
        <v>14</v>
      </c>
      <c r="E54">
        <v>7</v>
      </c>
      <c r="F54">
        <v>473.91</v>
      </c>
      <c r="G54">
        <v>0.04</v>
      </c>
      <c r="H54" t="s">
        <v>10</v>
      </c>
      <c r="I54" t="s">
        <v>18</v>
      </c>
      <c r="J54">
        <f>amazon_store_sales_2022__1[[#This Row],[UnitPrice]]*amazon_store_sales_2022__1[[#This Row],[Quantity]]</f>
        <v>3317.3700000000003</v>
      </c>
      <c r="K54">
        <f>amazon_store_sales_2022__1[[#This Row],[Total ]]*amazon_store_sales_2022__1[[#This Row],[Discount]]</f>
        <v>132.69480000000001</v>
      </c>
      <c r="L54" s="13">
        <f>amazon_store_sales_2022__1[[#This Row],[Total ]]-amazon_store_sales_2022__1[[#This Row],[Total Discount]]</f>
        <v>3184.6752000000001</v>
      </c>
      <c r="M54">
        <f>YEAR(amazon_store_sales_2022__1[[#This Row],[OrderDate]])</f>
        <v>2022</v>
      </c>
      <c r="N54" t="str" cm="1">
        <f t="array" ref="N54">_xlfn.IFS(L54&lt;500," VeryLow",L54&lt;1000,"Low",L54&lt;2000,"Medium",L54&lt;3000,"High",L54&lt;5000,"VeryHigh")</f>
        <v>VeryHigh</v>
      </c>
      <c r="O54" t="str" cm="1">
        <f t="array" ref="O54">_xlfn.IFS(G54&lt;0.09,"Low",G54&lt;0.2,"Medium",G54&lt;0.4,"High")</f>
        <v>Low</v>
      </c>
    </row>
    <row r="55" spans="1:15" x14ac:dyDescent="0.3">
      <c r="A55">
        <v>10054</v>
      </c>
      <c r="B55" s="1">
        <v>44615</v>
      </c>
      <c r="C55">
        <v>2060</v>
      </c>
      <c r="D55" t="s">
        <v>9</v>
      </c>
      <c r="E55">
        <v>3</v>
      </c>
      <c r="F55">
        <v>87.36</v>
      </c>
      <c r="G55">
        <v>0.27</v>
      </c>
      <c r="H55" t="s">
        <v>15</v>
      </c>
      <c r="I55" t="s">
        <v>18</v>
      </c>
      <c r="J55">
        <f>amazon_store_sales_2022__1[[#This Row],[UnitPrice]]*amazon_store_sales_2022__1[[#This Row],[Quantity]]</f>
        <v>262.08</v>
      </c>
      <c r="K55">
        <f>amazon_store_sales_2022__1[[#This Row],[Total ]]*amazon_store_sales_2022__1[[#This Row],[Discount]]</f>
        <v>70.761600000000001</v>
      </c>
      <c r="L55" s="13">
        <f>amazon_store_sales_2022__1[[#This Row],[Total ]]-amazon_store_sales_2022__1[[#This Row],[Total Discount]]</f>
        <v>191.3184</v>
      </c>
      <c r="M55">
        <f>YEAR(amazon_store_sales_2022__1[[#This Row],[OrderDate]])</f>
        <v>2022</v>
      </c>
      <c r="N55" t="str" cm="1">
        <f t="array" ref="N55">_xlfn.IFS(L55&lt;500," VeryLow",L55&lt;1000,"Low",L55&lt;2000,"Medium",L55&lt;3000,"High",L55&lt;5000,"VeryHigh")</f>
        <v xml:space="preserve"> VeryLow</v>
      </c>
      <c r="O55" t="str" cm="1">
        <f t="array" ref="O55">_xlfn.IFS(G55&lt;0.09,"Low",G55&lt;0.2,"Medium",G55&lt;0.4,"High")</f>
        <v>High</v>
      </c>
    </row>
    <row r="56" spans="1:15" x14ac:dyDescent="0.3">
      <c r="A56">
        <v>10055</v>
      </c>
      <c r="B56" s="1">
        <v>44616</v>
      </c>
      <c r="C56">
        <v>2014</v>
      </c>
      <c r="D56" t="s">
        <v>16</v>
      </c>
      <c r="E56">
        <v>8</v>
      </c>
      <c r="F56">
        <v>386.64</v>
      </c>
      <c r="G56">
        <v>0.25</v>
      </c>
      <c r="H56" t="s">
        <v>17</v>
      </c>
      <c r="I56" t="s">
        <v>18</v>
      </c>
      <c r="J56">
        <f>amazon_store_sales_2022__1[[#This Row],[UnitPrice]]*amazon_store_sales_2022__1[[#This Row],[Quantity]]</f>
        <v>3093.12</v>
      </c>
      <c r="K56">
        <f>amazon_store_sales_2022__1[[#This Row],[Total ]]*amazon_store_sales_2022__1[[#This Row],[Discount]]</f>
        <v>773.28</v>
      </c>
      <c r="L56" s="13">
        <f>amazon_store_sales_2022__1[[#This Row],[Total ]]-amazon_store_sales_2022__1[[#This Row],[Total Discount]]</f>
        <v>2319.84</v>
      </c>
      <c r="M56">
        <f>YEAR(amazon_store_sales_2022__1[[#This Row],[OrderDate]])</f>
        <v>2022</v>
      </c>
      <c r="N56" t="str" cm="1">
        <f t="array" ref="N56">_xlfn.IFS(L56&lt;500," VeryLow",L56&lt;1000,"Low",L56&lt;2000,"Medium",L56&lt;3000,"High",L56&lt;5000,"VeryHigh")</f>
        <v>High</v>
      </c>
      <c r="O56" t="str" cm="1">
        <f t="array" ref="O56">_xlfn.IFS(G56&lt;0.09,"Low",G56&lt;0.2,"Medium",G56&lt;0.4,"High")</f>
        <v>High</v>
      </c>
    </row>
    <row r="57" spans="1:15" x14ac:dyDescent="0.3">
      <c r="A57">
        <v>10056</v>
      </c>
      <c r="B57" s="1">
        <v>44617</v>
      </c>
      <c r="C57">
        <v>2009</v>
      </c>
      <c r="D57" t="s">
        <v>16</v>
      </c>
      <c r="E57">
        <v>4</v>
      </c>
      <c r="F57">
        <v>355.74</v>
      </c>
      <c r="G57">
        <v>0.1</v>
      </c>
      <c r="H57" t="s">
        <v>17</v>
      </c>
      <c r="I57" t="s">
        <v>18</v>
      </c>
      <c r="J57">
        <f>amazon_store_sales_2022__1[[#This Row],[UnitPrice]]*amazon_store_sales_2022__1[[#This Row],[Quantity]]</f>
        <v>1422.96</v>
      </c>
      <c r="K57">
        <f>amazon_store_sales_2022__1[[#This Row],[Total ]]*amazon_store_sales_2022__1[[#This Row],[Discount]]</f>
        <v>142.29600000000002</v>
      </c>
      <c r="L57" s="13">
        <f>amazon_store_sales_2022__1[[#This Row],[Total ]]-amazon_store_sales_2022__1[[#This Row],[Total Discount]]</f>
        <v>1280.664</v>
      </c>
      <c r="M57">
        <f>YEAR(amazon_store_sales_2022__1[[#This Row],[OrderDate]])</f>
        <v>2022</v>
      </c>
      <c r="N57" t="str" cm="1">
        <f t="array" ref="N57">_xlfn.IFS(L57&lt;500," VeryLow",L57&lt;1000,"Low",L57&lt;2000,"Medium",L57&lt;3000,"High",L57&lt;5000,"VeryHigh")</f>
        <v>Medium</v>
      </c>
      <c r="O57" t="str" cm="1">
        <f t="array" ref="O57">_xlfn.IFS(G57&lt;0.09,"Low",G57&lt;0.2,"Medium",G57&lt;0.4,"High")</f>
        <v>Medium</v>
      </c>
    </row>
    <row r="58" spans="1:15" x14ac:dyDescent="0.3">
      <c r="A58">
        <v>10057</v>
      </c>
      <c r="B58" s="1">
        <v>44618</v>
      </c>
      <c r="C58">
        <v>2090</v>
      </c>
      <c r="D58" t="s">
        <v>9</v>
      </c>
      <c r="E58">
        <v>1</v>
      </c>
      <c r="F58">
        <v>239.42</v>
      </c>
      <c r="G58">
        <v>0.28999999999999998</v>
      </c>
      <c r="H58" t="s">
        <v>10</v>
      </c>
      <c r="I58" t="s">
        <v>11</v>
      </c>
      <c r="J58">
        <f>amazon_store_sales_2022__1[[#This Row],[UnitPrice]]*amazon_store_sales_2022__1[[#This Row],[Quantity]]</f>
        <v>239.42</v>
      </c>
      <c r="K58">
        <f>amazon_store_sales_2022__1[[#This Row],[Total ]]*amazon_store_sales_2022__1[[#This Row],[Discount]]</f>
        <v>69.431799999999996</v>
      </c>
      <c r="L58" s="13">
        <f>amazon_store_sales_2022__1[[#This Row],[Total ]]-amazon_store_sales_2022__1[[#This Row],[Total Discount]]</f>
        <v>169.98820000000001</v>
      </c>
      <c r="M58">
        <f>YEAR(amazon_store_sales_2022__1[[#This Row],[OrderDate]])</f>
        <v>2022</v>
      </c>
      <c r="N58" t="str" cm="1">
        <f t="array" ref="N58">_xlfn.IFS(L58&lt;500," VeryLow",L58&lt;1000,"Low",L58&lt;2000,"Medium",L58&lt;3000,"High",L58&lt;5000,"VeryHigh")</f>
        <v xml:space="preserve"> VeryLow</v>
      </c>
      <c r="O58" t="str" cm="1">
        <f t="array" ref="O58">_xlfn.IFS(G58&lt;0.09,"Low",G58&lt;0.2,"Medium",G58&lt;0.4,"High")</f>
        <v>High</v>
      </c>
    </row>
    <row r="59" spans="1:15" x14ac:dyDescent="0.3">
      <c r="A59">
        <v>10058</v>
      </c>
      <c r="B59" s="1">
        <v>44619</v>
      </c>
      <c r="C59">
        <v>2053</v>
      </c>
      <c r="D59" t="s">
        <v>12</v>
      </c>
      <c r="E59">
        <v>4</v>
      </c>
      <c r="F59">
        <v>33.67</v>
      </c>
      <c r="G59">
        <v>0.25</v>
      </c>
      <c r="H59" t="s">
        <v>13</v>
      </c>
      <c r="I59" t="s">
        <v>18</v>
      </c>
      <c r="J59">
        <f>amazon_store_sales_2022__1[[#This Row],[UnitPrice]]*amazon_store_sales_2022__1[[#This Row],[Quantity]]</f>
        <v>134.68</v>
      </c>
      <c r="K59">
        <f>amazon_store_sales_2022__1[[#This Row],[Total ]]*amazon_store_sales_2022__1[[#This Row],[Discount]]</f>
        <v>33.67</v>
      </c>
      <c r="L59" s="13">
        <f>amazon_store_sales_2022__1[[#This Row],[Total ]]-amazon_store_sales_2022__1[[#This Row],[Total Discount]]</f>
        <v>101.01</v>
      </c>
      <c r="M59">
        <f>YEAR(amazon_store_sales_2022__1[[#This Row],[OrderDate]])</f>
        <v>2022</v>
      </c>
      <c r="N59" t="str" cm="1">
        <f t="array" ref="N59">_xlfn.IFS(L59&lt;500," VeryLow",L59&lt;1000,"Low",L59&lt;2000,"Medium",L59&lt;3000,"High",L59&lt;5000,"VeryHigh")</f>
        <v xml:space="preserve"> VeryLow</v>
      </c>
      <c r="O59" t="str" cm="1">
        <f t="array" ref="O59">_xlfn.IFS(G59&lt;0.09,"Low",G59&lt;0.2,"Medium",G59&lt;0.4,"High")</f>
        <v>High</v>
      </c>
    </row>
    <row r="60" spans="1:15" x14ac:dyDescent="0.3">
      <c r="A60">
        <v>10059</v>
      </c>
      <c r="B60" s="1">
        <v>44620</v>
      </c>
      <c r="C60">
        <v>2002</v>
      </c>
      <c r="D60" t="s">
        <v>16</v>
      </c>
      <c r="E60">
        <v>7</v>
      </c>
      <c r="F60">
        <v>41.97</v>
      </c>
      <c r="G60">
        <v>0.2</v>
      </c>
      <c r="H60" t="s">
        <v>13</v>
      </c>
      <c r="I60" t="s">
        <v>18</v>
      </c>
      <c r="J60">
        <f>amazon_store_sales_2022__1[[#This Row],[UnitPrice]]*amazon_store_sales_2022__1[[#This Row],[Quantity]]</f>
        <v>293.78999999999996</v>
      </c>
      <c r="K60">
        <f>amazon_store_sales_2022__1[[#This Row],[Total ]]*amazon_store_sales_2022__1[[#This Row],[Discount]]</f>
        <v>58.757999999999996</v>
      </c>
      <c r="L60" s="13">
        <f>amazon_store_sales_2022__1[[#This Row],[Total ]]-amazon_store_sales_2022__1[[#This Row],[Total Discount]]</f>
        <v>235.03199999999998</v>
      </c>
      <c r="M60">
        <f>YEAR(amazon_store_sales_2022__1[[#This Row],[OrderDate]])</f>
        <v>2022</v>
      </c>
      <c r="N60" t="str" cm="1">
        <f t="array" ref="N60">_xlfn.IFS(L60&lt;500," VeryLow",L60&lt;1000,"Low",L60&lt;2000,"Medium",L60&lt;3000,"High",L60&lt;5000,"VeryHigh")</f>
        <v xml:space="preserve"> VeryLow</v>
      </c>
      <c r="O60" t="str" cm="1">
        <f t="array" ref="O60">_xlfn.IFS(G60&lt;0.09,"Low",G60&lt;0.2,"Medium",G60&lt;0.4,"High")</f>
        <v>High</v>
      </c>
    </row>
    <row r="61" spans="1:15" x14ac:dyDescent="0.3">
      <c r="A61">
        <v>10060</v>
      </c>
      <c r="B61" s="1">
        <v>44621</v>
      </c>
      <c r="C61">
        <v>2084</v>
      </c>
      <c r="D61" t="s">
        <v>14</v>
      </c>
      <c r="E61">
        <v>4</v>
      </c>
      <c r="F61">
        <v>426.95</v>
      </c>
      <c r="G61">
        <v>0.04</v>
      </c>
      <c r="H61" t="s">
        <v>20</v>
      </c>
      <c r="I61" t="s">
        <v>18</v>
      </c>
      <c r="J61">
        <f>amazon_store_sales_2022__1[[#This Row],[UnitPrice]]*amazon_store_sales_2022__1[[#This Row],[Quantity]]</f>
        <v>1707.8</v>
      </c>
      <c r="K61">
        <f>amazon_store_sales_2022__1[[#This Row],[Total ]]*amazon_store_sales_2022__1[[#This Row],[Discount]]</f>
        <v>68.311999999999998</v>
      </c>
      <c r="L61" s="13">
        <f>amazon_store_sales_2022__1[[#This Row],[Total ]]-amazon_store_sales_2022__1[[#This Row],[Total Discount]]</f>
        <v>1639.4880000000001</v>
      </c>
      <c r="M61">
        <f>YEAR(amazon_store_sales_2022__1[[#This Row],[OrderDate]])</f>
        <v>2022</v>
      </c>
      <c r="N61" t="str" cm="1">
        <f t="array" ref="N61">_xlfn.IFS(L61&lt;500," VeryLow",L61&lt;1000,"Low",L61&lt;2000,"Medium",L61&lt;3000,"High",L61&lt;5000,"VeryHigh")</f>
        <v>Medium</v>
      </c>
      <c r="O61" t="str" cm="1">
        <f t="array" ref="O61">_xlfn.IFS(G61&lt;0.09,"Low",G61&lt;0.2,"Medium",G61&lt;0.4,"High")</f>
        <v>Low</v>
      </c>
    </row>
    <row r="62" spans="1:15" x14ac:dyDescent="0.3">
      <c r="A62">
        <v>10061</v>
      </c>
      <c r="B62" s="1">
        <v>44622</v>
      </c>
      <c r="C62">
        <v>2092</v>
      </c>
      <c r="D62" t="s">
        <v>12</v>
      </c>
      <c r="E62">
        <v>6</v>
      </c>
      <c r="F62">
        <v>495.12</v>
      </c>
      <c r="G62">
        <v>0.14000000000000001</v>
      </c>
      <c r="H62" t="s">
        <v>10</v>
      </c>
      <c r="I62" t="s">
        <v>11</v>
      </c>
      <c r="J62">
        <f>amazon_store_sales_2022__1[[#This Row],[UnitPrice]]*amazon_store_sales_2022__1[[#This Row],[Quantity]]</f>
        <v>2970.7200000000003</v>
      </c>
      <c r="K62">
        <f>amazon_store_sales_2022__1[[#This Row],[Total ]]*amazon_store_sales_2022__1[[#This Row],[Discount]]</f>
        <v>415.90080000000006</v>
      </c>
      <c r="L62" s="13">
        <f>amazon_store_sales_2022__1[[#This Row],[Total ]]-amazon_store_sales_2022__1[[#This Row],[Total Discount]]</f>
        <v>2554.8192000000004</v>
      </c>
      <c r="M62">
        <f>YEAR(amazon_store_sales_2022__1[[#This Row],[OrderDate]])</f>
        <v>2022</v>
      </c>
      <c r="N62" t="str" cm="1">
        <f t="array" ref="N62">_xlfn.IFS(L62&lt;500," VeryLow",L62&lt;1000,"Low",L62&lt;2000,"Medium",L62&lt;3000,"High",L62&lt;5000,"VeryHigh")</f>
        <v>High</v>
      </c>
      <c r="O62" t="str" cm="1">
        <f t="array" ref="O62">_xlfn.IFS(G62&lt;0.09,"Low",G62&lt;0.2,"Medium",G62&lt;0.4,"High")</f>
        <v>Medium</v>
      </c>
    </row>
    <row r="63" spans="1:15" x14ac:dyDescent="0.3">
      <c r="A63">
        <v>10062</v>
      </c>
      <c r="B63" s="1">
        <v>44623</v>
      </c>
      <c r="C63">
        <v>2060</v>
      </c>
      <c r="D63" t="s">
        <v>14</v>
      </c>
      <c r="E63">
        <v>9</v>
      </c>
      <c r="F63">
        <v>339.65</v>
      </c>
      <c r="G63">
        <v>0.15</v>
      </c>
      <c r="H63" t="s">
        <v>15</v>
      </c>
      <c r="I63" t="s">
        <v>11</v>
      </c>
      <c r="J63">
        <f>amazon_store_sales_2022__1[[#This Row],[UnitPrice]]*amazon_store_sales_2022__1[[#This Row],[Quantity]]</f>
        <v>3056.85</v>
      </c>
      <c r="K63">
        <f>amazon_store_sales_2022__1[[#This Row],[Total ]]*amazon_store_sales_2022__1[[#This Row],[Discount]]</f>
        <v>458.52749999999997</v>
      </c>
      <c r="L63" s="13">
        <f>amazon_store_sales_2022__1[[#This Row],[Total ]]-amazon_store_sales_2022__1[[#This Row],[Total Discount]]</f>
        <v>2598.3224999999998</v>
      </c>
      <c r="M63">
        <f>YEAR(amazon_store_sales_2022__1[[#This Row],[OrderDate]])</f>
        <v>2022</v>
      </c>
      <c r="N63" t="str" cm="1">
        <f t="array" ref="N63">_xlfn.IFS(L63&lt;500," VeryLow",L63&lt;1000,"Low",L63&lt;2000,"Medium",L63&lt;3000,"High",L63&lt;5000,"VeryHigh")</f>
        <v>High</v>
      </c>
      <c r="O63" t="str" cm="1">
        <f t="array" ref="O63">_xlfn.IFS(G63&lt;0.09,"Low",G63&lt;0.2,"Medium",G63&lt;0.4,"High")</f>
        <v>Medium</v>
      </c>
    </row>
    <row r="64" spans="1:15" x14ac:dyDescent="0.3">
      <c r="A64">
        <v>10063</v>
      </c>
      <c r="B64" s="1">
        <v>44624</v>
      </c>
      <c r="C64">
        <v>2071</v>
      </c>
      <c r="D64" t="s">
        <v>19</v>
      </c>
      <c r="E64">
        <v>1</v>
      </c>
      <c r="F64">
        <v>225.75</v>
      </c>
      <c r="G64">
        <v>7.0000000000000007E-2</v>
      </c>
      <c r="H64" t="s">
        <v>10</v>
      </c>
      <c r="I64" t="s">
        <v>18</v>
      </c>
      <c r="J64">
        <f>amazon_store_sales_2022__1[[#This Row],[UnitPrice]]*amazon_store_sales_2022__1[[#This Row],[Quantity]]</f>
        <v>225.75</v>
      </c>
      <c r="K64">
        <f>amazon_store_sales_2022__1[[#This Row],[Total ]]*amazon_store_sales_2022__1[[#This Row],[Discount]]</f>
        <v>15.802500000000002</v>
      </c>
      <c r="L64" s="13">
        <f>amazon_store_sales_2022__1[[#This Row],[Total ]]-amazon_store_sales_2022__1[[#This Row],[Total Discount]]</f>
        <v>209.94749999999999</v>
      </c>
      <c r="M64">
        <f>YEAR(amazon_store_sales_2022__1[[#This Row],[OrderDate]])</f>
        <v>2022</v>
      </c>
      <c r="N64" t="str" cm="1">
        <f t="array" ref="N64">_xlfn.IFS(L64&lt;500," VeryLow",L64&lt;1000,"Low",L64&lt;2000,"Medium",L64&lt;3000,"High",L64&lt;5000,"VeryHigh")</f>
        <v xml:space="preserve"> VeryLow</v>
      </c>
      <c r="O64" t="str" cm="1">
        <f t="array" ref="O64">_xlfn.IFS(G64&lt;0.09,"Low",G64&lt;0.2,"Medium",G64&lt;0.4,"High")</f>
        <v>Low</v>
      </c>
    </row>
    <row r="65" spans="1:15" x14ac:dyDescent="0.3">
      <c r="A65">
        <v>10064</v>
      </c>
      <c r="B65" s="1">
        <v>44625</v>
      </c>
      <c r="C65">
        <v>2044</v>
      </c>
      <c r="D65" t="s">
        <v>12</v>
      </c>
      <c r="E65">
        <v>5</v>
      </c>
      <c r="F65">
        <v>325.55</v>
      </c>
      <c r="G65">
        <v>0.02</v>
      </c>
      <c r="H65" t="s">
        <v>20</v>
      </c>
      <c r="I65" t="s">
        <v>18</v>
      </c>
      <c r="J65">
        <f>amazon_store_sales_2022__1[[#This Row],[UnitPrice]]*amazon_store_sales_2022__1[[#This Row],[Quantity]]</f>
        <v>1627.75</v>
      </c>
      <c r="K65">
        <f>amazon_store_sales_2022__1[[#This Row],[Total ]]*amazon_store_sales_2022__1[[#This Row],[Discount]]</f>
        <v>32.555</v>
      </c>
      <c r="L65" s="13">
        <f>amazon_store_sales_2022__1[[#This Row],[Total ]]-amazon_store_sales_2022__1[[#This Row],[Total Discount]]</f>
        <v>1595.1949999999999</v>
      </c>
      <c r="M65">
        <f>YEAR(amazon_store_sales_2022__1[[#This Row],[OrderDate]])</f>
        <v>2022</v>
      </c>
      <c r="N65" t="str" cm="1">
        <f t="array" ref="N65">_xlfn.IFS(L65&lt;500," VeryLow",L65&lt;1000,"Low",L65&lt;2000,"Medium",L65&lt;3000,"High",L65&lt;5000,"VeryHigh")</f>
        <v>Medium</v>
      </c>
      <c r="O65" t="str" cm="1">
        <f t="array" ref="O65">_xlfn.IFS(G65&lt;0.09,"Low",G65&lt;0.2,"Medium",G65&lt;0.4,"High")</f>
        <v>Low</v>
      </c>
    </row>
    <row r="66" spans="1:15" x14ac:dyDescent="0.3">
      <c r="A66">
        <v>10065</v>
      </c>
      <c r="B66" s="1">
        <v>44626</v>
      </c>
      <c r="C66">
        <v>2008</v>
      </c>
      <c r="D66" t="s">
        <v>16</v>
      </c>
      <c r="E66">
        <v>7</v>
      </c>
      <c r="F66">
        <v>299.23</v>
      </c>
      <c r="G66">
        <v>0.23</v>
      </c>
      <c r="H66" t="s">
        <v>10</v>
      </c>
      <c r="I66" t="s">
        <v>11</v>
      </c>
      <c r="J66">
        <f>amazon_store_sales_2022__1[[#This Row],[UnitPrice]]*amazon_store_sales_2022__1[[#This Row],[Quantity]]</f>
        <v>2094.61</v>
      </c>
      <c r="K66">
        <f>amazon_store_sales_2022__1[[#This Row],[Total ]]*amazon_store_sales_2022__1[[#This Row],[Discount]]</f>
        <v>481.76030000000003</v>
      </c>
      <c r="L66" s="13">
        <f>amazon_store_sales_2022__1[[#This Row],[Total ]]-amazon_store_sales_2022__1[[#This Row],[Total Discount]]</f>
        <v>1612.8497000000002</v>
      </c>
      <c r="M66">
        <f>YEAR(amazon_store_sales_2022__1[[#This Row],[OrderDate]])</f>
        <v>2022</v>
      </c>
      <c r="N66" t="str" cm="1">
        <f t="array" ref="N66">_xlfn.IFS(L66&lt;500," VeryLow",L66&lt;1000,"Low",L66&lt;2000,"Medium",L66&lt;3000,"High",L66&lt;5000,"VeryHigh")</f>
        <v>Medium</v>
      </c>
      <c r="O66" t="str" cm="1">
        <f t="array" ref="O66">_xlfn.IFS(G66&lt;0.09,"Low",G66&lt;0.2,"Medium",G66&lt;0.4,"High")</f>
        <v>High</v>
      </c>
    </row>
    <row r="67" spans="1:15" x14ac:dyDescent="0.3">
      <c r="A67">
        <v>10066</v>
      </c>
      <c r="B67" s="1">
        <v>44627</v>
      </c>
      <c r="C67">
        <v>2047</v>
      </c>
      <c r="D67" t="s">
        <v>12</v>
      </c>
      <c r="E67">
        <v>1</v>
      </c>
      <c r="F67">
        <v>194.89</v>
      </c>
      <c r="G67">
        <v>0.04</v>
      </c>
      <c r="H67" t="s">
        <v>10</v>
      </c>
      <c r="I67" t="s">
        <v>11</v>
      </c>
      <c r="J67">
        <f>amazon_store_sales_2022__1[[#This Row],[UnitPrice]]*amazon_store_sales_2022__1[[#This Row],[Quantity]]</f>
        <v>194.89</v>
      </c>
      <c r="K67">
        <f>amazon_store_sales_2022__1[[#This Row],[Total ]]*amazon_store_sales_2022__1[[#This Row],[Discount]]</f>
        <v>7.7955999999999994</v>
      </c>
      <c r="L67" s="13">
        <f>amazon_store_sales_2022__1[[#This Row],[Total ]]-amazon_store_sales_2022__1[[#This Row],[Total Discount]]</f>
        <v>187.09439999999998</v>
      </c>
      <c r="M67">
        <f>YEAR(amazon_store_sales_2022__1[[#This Row],[OrderDate]])</f>
        <v>2022</v>
      </c>
      <c r="N67" t="str" cm="1">
        <f t="array" ref="N67">_xlfn.IFS(L67&lt;500," VeryLow",L67&lt;1000,"Low",L67&lt;2000,"Medium",L67&lt;3000,"High",L67&lt;5000,"VeryHigh")</f>
        <v xml:space="preserve"> VeryLow</v>
      </c>
      <c r="O67" t="str" cm="1">
        <f t="array" ref="O67">_xlfn.IFS(G67&lt;0.09,"Low",G67&lt;0.2,"Medium",G67&lt;0.4,"High")</f>
        <v>Low</v>
      </c>
    </row>
    <row r="68" spans="1:15" x14ac:dyDescent="0.3">
      <c r="A68">
        <v>10067</v>
      </c>
      <c r="B68" s="1">
        <v>44628</v>
      </c>
      <c r="C68">
        <v>2035</v>
      </c>
      <c r="D68" t="s">
        <v>12</v>
      </c>
      <c r="E68">
        <v>4</v>
      </c>
      <c r="F68">
        <v>37.479999999999997</v>
      </c>
      <c r="G68">
        <v>0.18</v>
      </c>
      <c r="H68" t="s">
        <v>20</v>
      </c>
      <c r="I68" t="s">
        <v>11</v>
      </c>
      <c r="J68">
        <f>amazon_store_sales_2022__1[[#This Row],[UnitPrice]]*amazon_store_sales_2022__1[[#This Row],[Quantity]]</f>
        <v>149.91999999999999</v>
      </c>
      <c r="K68">
        <f>amazon_store_sales_2022__1[[#This Row],[Total ]]*amazon_store_sales_2022__1[[#This Row],[Discount]]</f>
        <v>26.985599999999998</v>
      </c>
      <c r="L68" s="13">
        <f>amazon_store_sales_2022__1[[#This Row],[Total ]]-amazon_store_sales_2022__1[[#This Row],[Total Discount]]</f>
        <v>122.93439999999998</v>
      </c>
      <c r="M68">
        <f>YEAR(amazon_store_sales_2022__1[[#This Row],[OrderDate]])</f>
        <v>2022</v>
      </c>
      <c r="N68" t="str" cm="1">
        <f t="array" ref="N68">_xlfn.IFS(L68&lt;500," VeryLow",L68&lt;1000,"Low",L68&lt;2000,"Medium",L68&lt;3000,"High",L68&lt;5000,"VeryHigh")</f>
        <v xml:space="preserve"> VeryLow</v>
      </c>
      <c r="O68" t="str" cm="1">
        <f t="array" ref="O68">_xlfn.IFS(G68&lt;0.09,"Low",G68&lt;0.2,"Medium",G68&lt;0.4,"High")</f>
        <v>Medium</v>
      </c>
    </row>
    <row r="69" spans="1:15" x14ac:dyDescent="0.3">
      <c r="A69">
        <v>10068</v>
      </c>
      <c r="B69" s="1">
        <v>44629</v>
      </c>
      <c r="C69">
        <v>2078</v>
      </c>
      <c r="D69" t="s">
        <v>12</v>
      </c>
      <c r="E69">
        <v>6</v>
      </c>
      <c r="F69">
        <v>411.65</v>
      </c>
      <c r="G69">
        <v>0.28000000000000003</v>
      </c>
      <c r="H69" t="s">
        <v>13</v>
      </c>
      <c r="I69" t="s">
        <v>11</v>
      </c>
      <c r="J69">
        <f>amazon_store_sales_2022__1[[#This Row],[UnitPrice]]*amazon_store_sales_2022__1[[#This Row],[Quantity]]</f>
        <v>2469.8999999999996</v>
      </c>
      <c r="K69">
        <f>amazon_store_sales_2022__1[[#This Row],[Total ]]*amazon_store_sales_2022__1[[#This Row],[Discount]]</f>
        <v>691.572</v>
      </c>
      <c r="L69" s="13">
        <f>amazon_store_sales_2022__1[[#This Row],[Total ]]-amazon_store_sales_2022__1[[#This Row],[Total Discount]]</f>
        <v>1778.3279999999995</v>
      </c>
      <c r="M69">
        <f>YEAR(amazon_store_sales_2022__1[[#This Row],[OrderDate]])</f>
        <v>2022</v>
      </c>
      <c r="N69" t="str" cm="1">
        <f t="array" ref="N69">_xlfn.IFS(L69&lt;500," VeryLow",L69&lt;1000,"Low",L69&lt;2000,"Medium",L69&lt;3000,"High",L69&lt;5000,"VeryHigh")</f>
        <v>Medium</v>
      </c>
      <c r="O69" t="str" cm="1">
        <f t="array" ref="O69">_xlfn.IFS(G69&lt;0.09,"Low",G69&lt;0.2,"Medium",G69&lt;0.4,"High")</f>
        <v>High</v>
      </c>
    </row>
    <row r="70" spans="1:15" x14ac:dyDescent="0.3">
      <c r="A70">
        <v>10069</v>
      </c>
      <c r="B70" s="1">
        <v>44630</v>
      </c>
      <c r="C70">
        <v>2081</v>
      </c>
      <c r="D70" t="s">
        <v>12</v>
      </c>
      <c r="E70">
        <v>2</v>
      </c>
      <c r="F70">
        <v>189.06</v>
      </c>
      <c r="G70">
        <v>0.26</v>
      </c>
      <c r="H70" t="s">
        <v>15</v>
      </c>
      <c r="I70" t="s">
        <v>11</v>
      </c>
      <c r="J70">
        <f>amazon_store_sales_2022__1[[#This Row],[UnitPrice]]*amazon_store_sales_2022__1[[#This Row],[Quantity]]</f>
        <v>378.12</v>
      </c>
      <c r="K70">
        <f>amazon_store_sales_2022__1[[#This Row],[Total ]]*amazon_store_sales_2022__1[[#This Row],[Discount]]</f>
        <v>98.311199999999999</v>
      </c>
      <c r="L70" s="13">
        <f>amazon_store_sales_2022__1[[#This Row],[Total ]]-amazon_store_sales_2022__1[[#This Row],[Total Discount]]</f>
        <v>279.80880000000002</v>
      </c>
      <c r="M70">
        <f>YEAR(amazon_store_sales_2022__1[[#This Row],[OrderDate]])</f>
        <v>2022</v>
      </c>
      <c r="N70" t="str" cm="1">
        <f t="array" ref="N70">_xlfn.IFS(L70&lt;500," VeryLow",L70&lt;1000,"Low",L70&lt;2000,"Medium",L70&lt;3000,"High",L70&lt;5000,"VeryHigh")</f>
        <v xml:space="preserve"> VeryLow</v>
      </c>
      <c r="O70" t="str" cm="1">
        <f t="array" ref="O70">_xlfn.IFS(G70&lt;0.09,"Low",G70&lt;0.2,"Medium",G70&lt;0.4,"High")</f>
        <v>High</v>
      </c>
    </row>
    <row r="71" spans="1:15" x14ac:dyDescent="0.3">
      <c r="A71">
        <v>10070</v>
      </c>
      <c r="B71" s="1">
        <v>44631</v>
      </c>
      <c r="C71">
        <v>2036</v>
      </c>
      <c r="D71" t="s">
        <v>14</v>
      </c>
      <c r="E71">
        <v>5</v>
      </c>
      <c r="F71">
        <v>410.3</v>
      </c>
      <c r="G71">
        <v>0.08</v>
      </c>
      <c r="H71" t="s">
        <v>20</v>
      </c>
      <c r="I71" t="s">
        <v>11</v>
      </c>
      <c r="J71">
        <f>amazon_store_sales_2022__1[[#This Row],[UnitPrice]]*amazon_store_sales_2022__1[[#This Row],[Quantity]]</f>
        <v>2051.5</v>
      </c>
      <c r="K71">
        <f>amazon_store_sales_2022__1[[#This Row],[Total ]]*amazon_store_sales_2022__1[[#This Row],[Discount]]</f>
        <v>164.12</v>
      </c>
      <c r="L71" s="13">
        <f>amazon_store_sales_2022__1[[#This Row],[Total ]]-amazon_store_sales_2022__1[[#This Row],[Total Discount]]</f>
        <v>1887.38</v>
      </c>
      <c r="M71">
        <f>YEAR(amazon_store_sales_2022__1[[#This Row],[OrderDate]])</f>
        <v>2022</v>
      </c>
      <c r="N71" t="str" cm="1">
        <f t="array" ref="N71">_xlfn.IFS(L71&lt;500," VeryLow",L71&lt;1000,"Low",L71&lt;2000,"Medium",L71&lt;3000,"High",L71&lt;5000,"VeryHigh")</f>
        <v>Medium</v>
      </c>
      <c r="O71" t="str" cm="1">
        <f t="array" ref="O71">_xlfn.IFS(G71&lt;0.09,"Low",G71&lt;0.2,"Medium",G71&lt;0.4,"High")</f>
        <v>Low</v>
      </c>
    </row>
    <row r="72" spans="1:15" x14ac:dyDescent="0.3">
      <c r="A72">
        <v>10071</v>
      </c>
      <c r="B72" s="1">
        <v>44632</v>
      </c>
      <c r="C72">
        <v>2050</v>
      </c>
      <c r="D72" t="s">
        <v>19</v>
      </c>
      <c r="E72">
        <v>1</v>
      </c>
      <c r="F72">
        <v>129.99</v>
      </c>
      <c r="G72">
        <v>0.26</v>
      </c>
      <c r="H72" t="s">
        <v>17</v>
      </c>
      <c r="I72" t="s">
        <v>11</v>
      </c>
      <c r="J72">
        <f>amazon_store_sales_2022__1[[#This Row],[UnitPrice]]*amazon_store_sales_2022__1[[#This Row],[Quantity]]</f>
        <v>129.99</v>
      </c>
      <c r="K72">
        <f>amazon_store_sales_2022__1[[#This Row],[Total ]]*amazon_store_sales_2022__1[[#This Row],[Discount]]</f>
        <v>33.797400000000003</v>
      </c>
      <c r="L72" s="13">
        <f>amazon_store_sales_2022__1[[#This Row],[Total ]]-amazon_store_sales_2022__1[[#This Row],[Total Discount]]</f>
        <v>96.192599999999999</v>
      </c>
      <c r="M72">
        <f>YEAR(amazon_store_sales_2022__1[[#This Row],[OrderDate]])</f>
        <v>2022</v>
      </c>
      <c r="N72" t="str" cm="1">
        <f t="array" ref="N72">_xlfn.IFS(L72&lt;500," VeryLow",L72&lt;1000,"Low",L72&lt;2000,"Medium",L72&lt;3000,"High",L72&lt;5000,"VeryHigh")</f>
        <v xml:space="preserve"> VeryLow</v>
      </c>
      <c r="O72" t="str" cm="1">
        <f t="array" ref="O72">_xlfn.IFS(G72&lt;0.09,"Low",G72&lt;0.2,"Medium",G72&lt;0.4,"High")</f>
        <v>High</v>
      </c>
    </row>
    <row r="73" spans="1:15" x14ac:dyDescent="0.3">
      <c r="A73">
        <v>10072</v>
      </c>
      <c r="B73" s="1">
        <v>44633</v>
      </c>
      <c r="C73">
        <v>2004</v>
      </c>
      <c r="D73" t="s">
        <v>9</v>
      </c>
      <c r="E73">
        <v>6</v>
      </c>
      <c r="F73">
        <v>5.51</v>
      </c>
      <c r="G73">
        <v>0</v>
      </c>
      <c r="H73" t="s">
        <v>13</v>
      </c>
      <c r="I73" t="s">
        <v>11</v>
      </c>
      <c r="J73">
        <f>amazon_store_sales_2022__1[[#This Row],[UnitPrice]]*amazon_store_sales_2022__1[[#This Row],[Quantity]]</f>
        <v>33.06</v>
      </c>
      <c r="K73">
        <f>amazon_store_sales_2022__1[[#This Row],[Total ]]*amazon_store_sales_2022__1[[#This Row],[Discount]]</f>
        <v>0</v>
      </c>
      <c r="L73" s="13">
        <f>amazon_store_sales_2022__1[[#This Row],[Total ]]-amazon_store_sales_2022__1[[#This Row],[Total Discount]]</f>
        <v>33.06</v>
      </c>
      <c r="M73">
        <f>YEAR(amazon_store_sales_2022__1[[#This Row],[OrderDate]])</f>
        <v>2022</v>
      </c>
      <c r="N73" t="str" cm="1">
        <f t="array" ref="N73">_xlfn.IFS(L73&lt;500," VeryLow",L73&lt;1000,"Low",L73&lt;2000,"Medium",L73&lt;3000,"High",L73&lt;5000,"VeryHigh")</f>
        <v xml:space="preserve"> VeryLow</v>
      </c>
      <c r="O73" t="str" cm="1">
        <f t="array" ref="O73">_xlfn.IFS(G73&lt;0.09,"Low",G73&lt;0.2,"Medium",G73&lt;0.4,"High")</f>
        <v>Low</v>
      </c>
    </row>
    <row r="74" spans="1:15" x14ac:dyDescent="0.3">
      <c r="A74">
        <v>10073</v>
      </c>
      <c r="B74" s="1">
        <v>44634</v>
      </c>
      <c r="C74">
        <v>2002</v>
      </c>
      <c r="D74" t="s">
        <v>12</v>
      </c>
      <c r="E74">
        <v>6</v>
      </c>
      <c r="F74">
        <v>83.67</v>
      </c>
      <c r="G74">
        <v>0.01</v>
      </c>
      <c r="H74" t="s">
        <v>17</v>
      </c>
      <c r="I74" t="s">
        <v>18</v>
      </c>
      <c r="J74">
        <f>amazon_store_sales_2022__1[[#This Row],[UnitPrice]]*amazon_store_sales_2022__1[[#This Row],[Quantity]]</f>
        <v>502.02</v>
      </c>
      <c r="K74">
        <f>amazon_store_sales_2022__1[[#This Row],[Total ]]*amazon_store_sales_2022__1[[#This Row],[Discount]]</f>
        <v>5.0202</v>
      </c>
      <c r="L74" s="13">
        <f>amazon_store_sales_2022__1[[#This Row],[Total ]]-amazon_store_sales_2022__1[[#This Row],[Total Discount]]</f>
        <v>496.99979999999999</v>
      </c>
      <c r="M74">
        <f>YEAR(amazon_store_sales_2022__1[[#This Row],[OrderDate]])</f>
        <v>2022</v>
      </c>
      <c r="N74" t="str" cm="1">
        <f t="array" ref="N74">_xlfn.IFS(L74&lt;500," VeryLow",L74&lt;1000,"Low",L74&lt;2000,"Medium",L74&lt;3000,"High",L74&lt;5000,"VeryHigh")</f>
        <v xml:space="preserve"> VeryLow</v>
      </c>
      <c r="O74" t="str" cm="1">
        <f t="array" ref="O74">_xlfn.IFS(G74&lt;0.09,"Low",G74&lt;0.2,"Medium",G74&lt;0.4,"High")</f>
        <v>Low</v>
      </c>
    </row>
    <row r="75" spans="1:15" x14ac:dyDescent="0.3">
      <c r="A75">
        <v>10074</v>
      </c>
      <c r="B75" s="1">
        <v>44635</v>
      </c>
      <c r="C75">
        <v>2006</v>
      </c>
      <c r="D75" t="s">
        <v>16</v>
      </c>
      <c r="E75">
        <v>4</v>
      </c>
      <c r="F75">
        <v>236.93</v>
      </c>
      <c r="G75">
        <v>0.18</v>
      </c>
      <c r="H75" t="s">
        <v>13</v>
      </c>
      <c r="I75" t="s">
        <v>18</v>
      </c>
      <c r="J75">
        <f>amazon_store_sales_2022__1[[#This Row],[UnitPrice]]*amazon_store_sales_2022__1[[#This Row],[Quantity]]</f>
        <v>947.72</v>
      </c>
      <c r="K75">
        <f>amazon_store_sales_2022__1[[#This Row],[Total ]]*amazon_store_sales_2022__1[[#This Row],[Discount]]</f>
        <v>170.58959999999999</v>
      </c>
      <c r="L75" s="13">
        <f>amazon_store_sales_2022__1[[#This Row],[Total ]]-amazon_store_sales_2022__1[[#This Row],[Total Discount]]</f>
        <v>777.13040000000001</v>
      </c>
      <c r="M75">
        <f>YEAR(amazon_store_sales_2022__1[[#This Row],[OrderDate]])</f>
        <v>2022</v>
      </c>
      <c r="N75" t="str" cm="1">
        <f t="array" ref="N75">_xlfn.IFS(L75&lt;500," VeryLow",L75&lt;1000,"Low",L75&lt;2000,"Medium",L75&lt;3000,"High",L75&lt;5000,"VeryHigh")</f>
        <v>Low</v>
      </c>
      <c r="O75" t="str" cm="1">
        <f t="array" ref="O75">_xlfn.IFS(G75&lt;0.09,"Low",G75&lt;0.2,"Medium",G75&lt;0.4,"High")</f>
        <v>Medium</v>
      </c>
    </row>
    <row r="76" spans="1:15" x14ac:dyDescent="0.3">
      <c r="A76">
        <v>10075</v>
      </c>
      <c r="B76" s="1">
        <v>44636</v>
      </c>
      <c r="C76">
        <v>2054</v>
      </c>
      <c r="D76" t="s">
        <v>12</v>
      </c>
      <c r="E76">
        <v>8</v>
      </c>
      <c r="F76">
        <v>472.43</v>
      </c>
      <c r="G76">
        <v>0.11</v>
      </c>
      <c r="H76" t="s">
        <v>15</v>
      </c>
      <c r="I76" t="s">
        <v>18</v>
      </c>
      <c r="J76">
        <f>amazon_store_sales_2022__1[[#This Row],[UnitPrice]]*amazon_store_sales_2022__1[[#This Row],[Quantity]]</f>
        <v>3779.44</v>
      </c>
      <c r="K76">
        <f>amazon_store_sales_2022__1[[#This Row],[Total ]]*amazon_store_sales_2022__1[[#This Row],[Discount]]</f>
        <v>415.73840000000001</v>
      </c>
      <c r="L76" s="13">
        <f>amazon_store_sales_2022__1[[#This Row],[Total ]]-amazon_store_sales_2022__1[[#This Row],[Total Discount]]</f>
        <v>3363.7015999999999</v>
      </c>
      <c r="M76">
        <f>YEAR(amazon_store_sales_2022__1[[#This Row],[OrderDate]])</f>
        <v>2022</v>
      </c>
      <c r="N76" t="str" cm="1">
        <f t="array" ref="N76">_xlfn.IFS(L76&lt;500," VeryLow",L76&lt;1000,"Low",L76&lt;2000,"Medium",L76&lt;3000,"High",L76&lt;5000,"VeryHigh")</f>
        <v>VeryHigh</v>
      </c>
      <c r="O76" t="str" cm="1">
        <f t="array" ref="O76">_xlfn.IFS(G76&lt;0.09,"Low",G76&lt;0.2,"Medium",G76&lt;0.4,"High")</f>
        <v>Medium</v>
      </c>
    </row>
    <row r="77" spans="1:15" x14ac:dyDescent="0.3">
      <c r="A77">
        <v>10076</v>
      </c>
      <c r="B77" s="1">
        <v>44637</v>
      </c>
      <c r="C77">
        <v>2004</v>
      </c>
      <c r="D77" t="s">
        <v>16</v>
      </c>
      <c r="E77">
        <v>4</v>
      </c>
      <c r="F77">
        <v>55.59</v>
      </c>
      <c r="G77">
        <v>0.12</v>
      </c>
      <c r="H77" t="s">
        <v>15</v>
      </c>
      <c r="I77" t="s">
        <v>18</v>
      </c>
      <c r="J77">
        <f>amazon_store_sales_2022__1[[#This Row],[UnitPrice]]*amazon_store_sales_2022__1[[#This Row],[Quantity]]</f>
        <v>222.36</v>
      </c>
      <c r="K77">
        <f>amazon_store_sales_2022__1[[#This Row],[Total ]]*amazon_store_sales_2022__1[[#This Row],[Discount]]</f>
        <v>26.683199999999999</v>
      </c>
      <c r="L77" s="13">
        <f>amazon_store_sales_2022__1[[#This Row],[Total ]]-amazon_store_sales_2022__1[[#This Row],[Total Discount]]</f>
        <v>195.67680000000001</v>
      </c>
      <c r="M77">
        <f>YEAR(amazon_store_sales_2022__1[[#This Row],[OrderDate]])</f>
        <v>2022</v>
      </c>
      <c r="N77" t="str" cm="1">
        <f t="array" ref="N77">_xlfn.IFS(L77&lt;500," VeryLow",L77&lt;1000,"Low",L77&lt;2000,"Medium",L77&lt;3000,"High",L77&lt;5000,"VeryHigh")</f>
        <v xml:space="preserve"> VeryLow</v>
      </c>
      <c r="O77" t="str" cm="1">
        <f t="array" ref="O77">_xlfn.IFS(G77&lt;0.09,"Low",G77&lt;0.2,"Medium",G77&lt;0.4,"High")</f>
        <v>Medium</v>
      </c>
    </row>
    <row r="78" spans="1:15" x14ac:dyDescent="0.3">
      <c r="A78">
        <v>10077</v>
      </c>
      <c r="B78" s="1">
        <v>44638</v>
      </c>
      <c r="C78">
        <v>2054</v>
      </c>
      <c r="D78" t="s">
        <v>14</v>
      </c>
      <c r="E78">
        <v>8</v>
      </c>
      <c r="F78">
        <v>427.83</v>
      </c>
      <c r="G78">
        <v>0.17</v>
      </c>
      <c r="H78" t="s">
        <v>10</v>
      </c>
      <c r="I78" t="s">
        <v>18</v>
      </c>
      <c r="J78">
        <f>amazon_store_sales_2022__1[[#This Row],[UnitPrice]]*amazon_store_sales_2022__1[[#This Row],[Quantity]]</f>
        <v>3422.64</v>
      </c>
      <c r="K78">
        <f>amazon_store_sales_2022__1[[#This Row],[Total ]]*amazon_store_sales_2022__1[[#This Row],[Discount]]</f>
        <v>581.84879999999998</v>
      </c>
      <c r="L78" s="13">
        <f>amazon_store_sales_2022__1[[#This Row],[Total ]]-amazon_store_sales_2022__1[[#This Row],[Total Discount]]</f>
        <v>2840.7911999999997</v>
      </c>
      <c r="M78">
        <f>YEAR(amazon_store_sales_2022__1[[#This Row],[OrderDate]])</f>
        <v>2022</v>
      </c>
      <c r="N78" t="str" cm="1">
        <f t="array" ref="N78">_xlfn.IFS(L78&lt;500," VeryLow",L78&lt;1000,"Low",L78&lt;2000,"Medium",L78&lt;3000,"High",L78&lt;5000,"VeryHigh")</f>
        <v>High</v>
      </c>
      <c r="O78" t="str" cm="1">
        <f t="array" ref="O78">_xlfn.IFS(G78&lt;0.09,"Low",G78&lt;0.2,"Medium",G78&lt;0.4,"High")</f>
        <v>Medium</v>
      </c>
    </row>
    <row r="79" spans="1:15" x14ac:dyDescent="0.3">
      <c r="A79">
        <v>10078</v>
      </c>
      <c r="B79" s="1">
        <v>44639</v>
      </c>
      <c r="C79">
        <v>2093</v>
      </c>
      <c r="D79" t="s">
        <v>16</v>
      </c>
      <c r="E79">
        <v>8</v>
      </c>
      <c r="F79">
        <v>265.88</v>
      </c>
      <c r="G79">
        <v>0.06</v>
      </c>
      <c r="H79" t="s">
        <v>17</v>
      </c>
      <c r="I79" t="s">
        <v>18</v>
      </c>
      <c r="J79">
        <f>amazon_store_sales_2022__1[[#This Row],[UnitPrice]]*amazon_store_sales_2022__1[[#This Row],[Quantity]]</f>
        <v>2127.04</v>
      </c>
      <c r="K79">
        <f>amazon_store_sales_2022__1[[#This Row],[Total ]]*amazon_store_sales_2022__1[[#This Row],[Discount]]</f>
        <v>127.6224</v>
      </c>
      <c r="L79" s="13">
        <f>amazon_store_sales_2022__1[[#This Row],[Total ]]-amazon_store_sales_2022__1[[#This Row],[Total Discount]]</f>
        <v>1999.4176</v>
      </c>
      <c r="M79">
        <f>YEAR(amazon_store_sales_2022__1[[#This Row],[OrderDate]])</f>
        <v>2022</v>
      </c>
      <c r="N79" t="str" cm="1">
        <f t="array" ref="N79">_xlfn.IFS(L79&lt;500," VeryLow",L79&lt;1000,"Low",L79&lt;2000,"Medium",L79&lt;3000,"High",L79&lt;5000,"VeryHigh")</f>
        <v>Medium</v>
      </c>
      <c r="O79" t="str" cm="1">
        <f t="array" ref="O79">_xlfn.IFS(G79&lt;0.09,"Low",G79&lt;0.2,"Medium",G79&lt;0.4,"High")</f>
        <v>Low</v>
      </c>
    </row>
    <row r="80" spans="1:15" x14ac:dyDescent="0.3">
      <c r="A80">
        <v>10079</v>
      </c>
      <c r="B80" s="1">
        <v>44640</v>
      </c>
      <c r="C80">
        <v>2063</v>
      </c>
      <c r="D80" t="s">
        <v>9</v>
      </c>
      <c r="E80">
        <v>5</v>
      </c>
      <c r="F80">
        <v>413.83</v>
      </c>
      <c r="G80">
        <v>0.06</v>
      </c>
      <c r="H80" t="s">
        <v>13</v>
      </c>
      <c r="I80" t="s">
        <v>11</v>
      </c>
      <c r="J80">
        <f>amazon_store_sales_2022__1[[#This Row],[UnitPrice]]*amazon_store_sales_2022__1[[#This Row],[Quantity]]</f>
        <v>2069.15</v>
      </c>
      <c r="K80">
        <f>amazon_store_sales_2022__1[[#This Row],[Total ]]*amazon_store_sales_2022__1[[#This Row],[Discount]]</f>
        <v>124.149</v>
      </c>
      <c r="L80" s="13">
        <f>amazon_store_sales_2022__1[[#This Row],[Total ]]-amazon_store_sales_2022__1[[#This Row],[Total Discount]]</f>
        <v>1945.0010000000002</v>
      </c>
      <c r="M80">
        <f>YEAR(amazon_store_sales_2022__1[[#This Row],[OrderDate]])</f>
        <v>2022</v>
      </c>
      <c r="N80" t="str" cm="1">
        <f t="array" ref="N80">_xlfn.IFS(L80&lt;500," VeryLow",L80&lt;1000,"Low",L80&lt;2000,"Medium",L80&lt;3000,"High",L80&lt;5000,"VeryHigh")</f>
        <v>Medium</v>
      </c>
      <c r="O80" t="str" cm="1">
        <f t="array" ref="O80">_xlfn.IFS(G80&lt;0.09,"Low",G80&lt;0.2,"Medium",G80&lt;0.4,"High")</f>
        <v>Low</v>
      </c>
    </row>
    <row r="81" spans="1:15" x14ac:dyDescent="0.3">
      <c r="A81">
        <v>10080</v>
      </c>
      <c r="B81" s="1">
        <v>44641</v>
      </c>
      <c r="C81">
        <v>2018</v>
      </c>
      <c r="D81" t="s">
        <v>19</v>
      </c>
      <c r="E81">
        <v>4</v>
      </c>
      <c r="F81">
        <v>152.69999999999999</v>
      </c>
      <c r="G81">
        <v>0.15</v>
      </c>
      <c r="H81" t="s">
        <v>15</v>
      </c>
      <c r="I81" t="s">
        <v>11</v>
      </c>
      <c r="J81">
        <f>amazon_store_sales_2022__1[[#This Row],[UnitPrice]]*amazon_store_sales_2022__1[[#This Row],[Quantity]]</f>
        <v>610.79999999999995</v>
      </c>
      <c r="K81">
        <f>amazon_store_sales_2022__1[[#This Row],[Total ]]*amazon_store_sales_2022__1[[#This Row],[Discount]]</f>
        <v>91.61999999999999</v>
      </c>
      <c r="L81" s="13">
        <f>amazon_store_sales_2022__1[[#This Row],[Total ]]-amazon_store_sales_2022__1[[#This Row],[Total Discount]]</f>
        <v>519.17999999999995</v>
      </c>
      <c r="M81">
        <f>YEAR(amazon_store_sales_2022__1[[#This Row],[OrderDate]])</f>
        <v>2022</v>
      </c>
      <c r="N81" t="str" cm="1">
        <f t="array" ref="N81">_xlfn.IFS(L81&lt;500," VeryLow",L81&lt;1000,"Low",L81&lt;2000,"Medium",L81&lt;3000,"High",L81&lt;5000,"VeryHigh")</f>
        <v>Low</v>
      </c>
      <c r="O81" t="str" cm="1">
        <f t="array" ref="O81">_xlfn.IFS(G81&lt;0.09,"Low",G81&lt;0.2,"Medium",G81&lt;0.4,"High")</f>
        <v>Medium</v>
      </c>
    </row>
    <row r="82" spans="1:15" x14ac:dyDescent="0.3">
      <c r="A82">
        <v>10081</v>
      </c>
      <c r="B82" s="1">
        <v>44642</v>
      </c>
      <c r="C82">
        <v>2090</v>
      </c>
      <c r="D82" t="s">
        <v>16</v>
      </c>
      <c r="E82">
        <v>2</v>
      </c>
      <c r="F82">
        <v>420.77</v>
      </c>
      <c r="G82">
        <v>0.23</v>
      </c>
      <c r="H82" t="s">
        <v>20</v>
      </c>
      <c r="I82" t="s">
        <v>18</v>
      </c>
      <c r="J82">
        <f>amazon_store_sales_2022__1[[#This Row],[UnitPrice]]*amazon_store_sales_2022__1[[#This Row],[Quantity]]</f>
        <v>841.54</v>
      </c>
      <c r="K82">
        <f>amazon_store_sales_2022__1[[#This Row],[Total ]]*amazon_store_sales_2022__1[[#This Row],[Discount]]</f>
        <v>193.55420000000001</v>
      </c>
      <c r="L82" s="13">
        <f>amazon_store_sales_2022__1[[#This Row],[Total ]]-amazon_store_sales_2022__1[[#This Row],[Total Discount]]</f>
        <v>647.98579999999993</v>
      </c>
      <c r="M82">
        <f>YEAR(amazon_store_sales_2022__1[[#This Row],[OrderDate]])</f>
        <v>2022</v>
      </c>
      <c r="N82" t="str" cm="1">
        <f t="array" ref="N82">_xlfn.IFS(L82&lt;500," VeryLow",L82&lt;1000,"Low",L82&lt;2000,"Medium",L82&lt;3000,"High",L82&lt;5000,"VeryHigh")</f>
        <v>Low</v>
      </c>
      <c r="O82" t="str" cm="1">
        <f t="array" ref="O82">_xlfn.IFS(G82&lt;0.09,"Low",G82&lt;0.2,"Medium",G82&lt;0.4,"High")</f>
        <v>High</v>
      </c>
    </row>
    <row r="83" spans="1:15" x14ac:dyDescent="0.3">
      <c r="A83">
        <v>10082</v>
      </c>
      <c r="B83" s="1">
        <v>44643</v>
      </c>
      <c r="C83">
        <v>2044</v>
      </c>
      <c r="D83" t="s">
        <v>16</v>
      </c>
      <c r="E83">
        <v>3</v>
      </c>
      <c r="F83">
        <v>387.55</v>
      </c>
      <c r="G83">
        <v>0.19</v>
      </c>
      <c r="H83" t="s">
        <v>15</v>
      </c>
      <c r="I83" t="s">
        <v>18</v>
      </c>
      <c r="J83">
        <f>amazon_store_sales_2022__1[[#This Row],[UnitPrice]]*amazon_store_sales_2022__1[[#This Row],[Quantity]]</f>
        <v>1162.6500000000001</v>
      </c>
      <c r="K83">
        <f>amazon_store_sales_2022__1[[#This Row],[Total ]]*amazon_store_sales_2022__1[[#This Row],[Discount]]</f>
        <v>220.90350000000001</v>
      </c>
      <c r="L83" s="13">
        <f>amazon_store_sales_2022__1[[#This Row],[Total ]]-amazon_store_sales_2022__1[[#This Row],[Total Discount]]</f>
        <v>941.74650000000008</v>
      </c>
      <c r="M83">
        <f>YEAR(amazon_store_sales_2022__1[[#This Row],[OrderDate]])</f>
        <v>2022</v>
      </c>
      <c r="N83" t="str" cm="1">
        <f t="array" ref="N83">_xlfn.IFS(L83&lt;500," VeryLow",L83&lt;1000,"Low",L83&lt;2000,"Medium",L83&lt;3000,"High",L83&lt;5000,"VeryHigh")</f>
        <v>Low</v>
      </c>
      <c r="O83" t="str" cm="1">
        <f t="array" ref="O83">_xlfn.IFS(G83&lt;0.09,"Low",G83&lt;0.2,"Medium",G83&lt;0.4,"High")</f>
        <v>Medium</v>
      </c>
    </row>
    <row r="84" spans="1:15" x14ac:dyDescent="0.3">
      <c r="A84">
        <v>10083</v>
      </c>
      <c r="B84" s="1">
        <v>44644</v>
      </c>
      <c r="C84">
        <v>2034</v>
      </c>
      <c r="D84" t="s">
        <v>19</v>
      </c>
      <c r="E84">
        <v>3</v>
      </c>
      <c r="F84">
        <v>118.88</v>
      </c>
      <c r="G84">
        <v>0.09</v>
      </c>
      <c r="H84" t="s">
        <v>20</v>
      </c>
      <c r="I84" t="s">
        <v>11</v>
      </c>
      <c r="J84">
        <f>amazon_store_sales_2022__1[[#This Row],[UnitPrice]]*amazon_store_sales_2022__1[[#This Row],[Quantity]]</f>
        <v>356.64</v>
      </c>
      <c r="K84">
        <f>amazon_store_sales_2022__1[[#This Row],[Total ]]*amazon_store_sales_2022__1[[#This Row],[Discount]]</f>
        <v>32.0976</v>
      </c>
      <c r="L84" s="13">
        <f>amazon_store_sales_2022__1[[#This Row],[Total ]]-amazon_store_sales_2022__1[[#This Row],[Total Discount]]</f>
        <v>324.54239999999999</v>
      </c>
      <c r="M84">
        <f>YEAR(amazon_store_sales_2022__1[[#This Row],[OrderDate]])</f>
        <v>2022</v>
      </c>
      <c r="N84" t="str" cm="1">
        <f t="array" ref="N84">_xlfn.IFS(L84&lt;500," VeryLow",L84&lt;1000,"Low",L84&lt;2000,"Medium",L84&lt;3000,"High",L84&lt;5000,"VeryHigh")</f>
        <v xml:space="preserve"> VeryLow</v>
      </c>
      <c r="O84" t="str" cm="1">
        <f t="array" ref="O84">_xlfn.IFS(G84&lt;0.09,"Low",G84&lt;0.2,"Medium",G84&lt;0.4,"High")</f>
        <v>Medium</v>
      </c>
    </row>
    <row r="85" spans="1:15" x14ac:dyDescent="0.3">
      <c r="A85">
        <v>10084</v>
      </c>
      <c r="B85" s="1">
        <v>44645</v>
      </c>
      <c r="C85">
        <v>2074</v>
      </c>
      <c r="D85" t="s">
        <v>9</v>
      </c>
      <c r="E85">
        <v>4</v>
      </c>
      <c r="F85">
        <v>70.010000000000005</v>
      </c>
      <c r="G85">
        <v>0.13</v>
      </c>
      <c r="H85" t="s">
        <v>13</v>
      </c>
      <c r="I85" t="s">
        <v>11</v>
      </c>
      <c r="J85">
        <f>amazon_store_sales_2022__1[[#This Row],[UnitPrice]]*amazon_store_sales_2022__1[[#This Row],[Quantity]]</f>
        <v>280.04000000000002</v>
      </c>
      <c r="K85">
        <f>amazon_store_sales_2022__1[[#This Row],[Total ]]*amazon_store_sales_2022__1[[#This Row],[Discount]]</f>
        <v>36.405200000000001</v>
      </c>
      <c r="L85" s="13">
        <f>amazon_store_sales_2022__1[[#This Row],[Total ]]-amazon_store_sales_2022__1[[#This Row],[Total Discount]]</f>
        <v>243.63480000000001</v>
      </c>
      <c r="M85">
        <f>YEAR(amazon_store_sales_2022__1[[#This Row],[OrderDate]])</f>
        <v>2022</v>
      </c>
      <c r="N85" t="str" cm="1">
        <f t="array" ref="N85">_xlfn.IFS(L85&lt;500," VeryLow",L85&lt;1000,"Low",L85&lt;2000,"Medium",L85&lt;3000,"High",L85&lt;5000,"VeryHigh")</f>
        <v xml:space="preserve"> VeryLow</v>
      </c>
      <c r="O85" t="str" cm="1">
        <f t="array" ref="O85">_xlfn.IFS(G85&lt;0.09,"Low",G85&lt;0.2,"Medium",G85&lt;0.4,"High")</f>
        <v>Medium</v>
      </c>
    </row>
    <row r="86" spans="1:15" x14ac:dyDescent="0.3">
      <c r="A86">
        <v>10085</v>
      </c>
      <c r="B86" s="1">
        <v>44646</v>
      </c>
      <c r="C86">
        <v>2062</v>
      </c>
      <c r="D86" t="s">
        <v>12</v>
      </c>
      <c r="E86">
        <v>4</v>
      </c>
      <c r="F86">
        <v>434.69</v>
      </c>
      <c r="G86">
        <v>0.05</v>
      </c>
      <c r="H86" t="s">
        <v>15</v>
      </c>
      <c r="I86" t="s">
        <v>11</v>
      </c>
      <c r="J86">
        <f>amazon_store_sales_2022__1[[#This Row],[UnitPrice]]*amazon_store_sales_2022__1[[#This Row],[Quantity]]</f>
        <v>1738.76</v>
      </c>
      <c r="K86">
        <f>amazon_store_sales_2022__1[[#This Row],[Total ]]*amazon_store_sales_2022__1[[#This Row],[Discount]]</f>
        <v>86.938000000000002</v>
      </c>
      <c r="L86" s="13">
        <f>amazon_store_sales_2022__1[[#This Row],[Total ]]-amazon_store_sales_2022__1[[#This Row],[Total Discount]]</f>
        <v>1651.8219999999999</v>
      </c>
      <c r="M86">
        <f>YEAR(amazon_store_sales_2022__1[[#This Row],[OrderDate]])</f>
        <v>2022</v>
      </c>
      <c r="N86" t="str" cm="1">
        <f t="array" ref="N86">_xlfn.IFS(L86&lt;500," VeryLow",L86&lt;1000,"Low",L86&lt;2000,"Medium",L86&lt;3000,"High",L86&lt;5000,"VeryHigh")</f>
        <v>Medium</v>
      </c>
      <c r="O86" t="str" cm="1">
        <f t="array" ref="O86">_xlfn.IFS(G86&lt;0.09,"Low",G86&lt;0.2,"Medium",G86&lt;0.4,"High")</f>
        <v>Low</v>
      </c>
    </row>
    <row r="87" spans="1:15" x14ac:dyDescent="0.3">
      <c r="A87">
        <v>10086</v>
      </c>
      <c r="B87" s="1">
        <v>44647</v>
      </c>
      <c r="C87">
        <v>2100</v>
      </c>
      <c r="D87" t="s">
        <v>16</v>
      </c>
      <c r="E87">
        <v>5</v>
      </c>
      <c r="F87">
        <v>481.8</v>
      </c>
      <c r="G87">
        <v>0.02</v>
      </c>
      <c r="H87" t="s">
        <v>15</v>
      </c>
      <c r="I87" t="s">
        <v>18</v>
      </c>
      <c r="J87">
        <f>amazon_store_sales_2022__1[[#This Row],[UnitPrice]]*amazon_store_sales_2022__1[[#This Row],[Quantity]]</f>
        <v>2409</v>
      </c>
      <c r="K87">
        <f>amazon_store_sales_2022__1[[#This Row],[Total ]]*amazon_store_sales_2022__1[[#This Row],[Discount]]</f>
        <v>48.18</v>
      </c>
      <c r="L87" s="13">
        <f>amazon_store_sales_2022__1[[#This Row],[Total ]]-amazon_store_sales_2022__1[[#This Row],[Total Discount]]</f>
        <v>2360.8200000000002</v>
      </c>
      <c r="M87">
        <f>YEAR(amazon_store_sales_2022__1[[#This Row],[OrderDate]])</f>
        <v>2022</v>
      </c>
      <c r="N87" t="str" cm="1">
        <f t="array" ref="N87">_xlfn.IFS(L87&lt;500," VeryLow",L87&lt;1000,"Low",L87&lt;2000,"Medium",L87&lt;3000,"High",L87&lt;5000,"VeryHigh")</f>
        <v>High</v>
      </c>
      <c r="O87" t="str" cm="1">
        <f t="array" ref="O87">_xlfn.IFS(G87&lt;0.09,"Low",G87&lt;0.2,"Medium",G87&lt;0.4,"High")</f>
        <v>Low</v>
      </c>
    </row>
    <row r="88" spans="1:15" x14ac:dyDescent="0.3">
      <c r="A88">
        <v>10087</v>
      </c>
      <c r="B88" s="1">
        <v>44648</v>
      </c>
      <c r="C88">
        <v>2014</v>
      </c>
      <c r="D88" t="s">
        <v>19</v>
      </c>
      <c r="E88">
        <v>4</v>
      </c>
      <c r="F88">
        <v>20.49</v>
      </c>
      <c r="G88">
        <v>0.23</v>
      </c>
      <c r="H88" t="s">
        <v>13</v>
      </c>
      <c r="I88" t="s">
        <v>11</v>
      </c>
      <c r="J88">
        <f>amazon_store_sales_2022__1[[#This Row],[UnitPrice]]*amazon_store_sales_2022__1[[#This Row],[Quantity]]</f>
        <v>81.96</v>
      </c>
      <c r="K88">
        <f>amazon_store_sales_2022__1[[#This Row],[Total ]]*amazon_store_sales_2022__1[[#This Row],[Discount]]</f>
        <v>18.8508</v>
      </c>
      <c r="L88" s="13">
        <f>amazon_store_sales_2022__1[[#This Row],[Total ]]-amazon_store_sales_2022__1[[#This Row],[Total Discount]]</f>
        <v>63.109199999999994</v>
      </c>
      <c r="M88">
        <f>YEAR(amazon_store_sales_2022__1[[#This Row],[OrderDate]])</f>
        <v>2022</v>
      </c>
      <c r="N88" t="str" cm="1">
        <f t="array" ref="N88">_xlfn.IFS(L88&lt;500," VeryLow",L88&lt;1000,"Low",L88&lt;2000,"Medium",L88&lt;3000,"High",L88&lt;5000,"VeryHigh")</f>
        <v xml:space="preserve"> VeryLow</v>
      </c>
      <c r="O88" t="str" cm="1">
        <f t="array" ref="O88">_xlfn.IFS(G88&lt;0.09,"Low",G88&lt;0.2,"Medium",G88&lt;0.4,"High")</f>
        <v>High</v>
      </c>
    </row>
    <row r="89" spans="1:15" x14ac:dyDescent="0.3">
      <c r="A89">
        <v>10088</v>
      </c>
      <c r="B89" s="1">
        <v>44649</v>
      </c>
      <c r="C89">
        <v>2095</v>
      </c>
      <c r="D89" t="s">
        <v>14</v>
      </c>
      <c r="E89">
        <v>8</v>
      </c>
      <c r="F89">
        <v>366.98</v>
      </c>
      <c r="G89">
        <v>0.08</v>
      </c>
      <c r="H89" t="s">
        <v>15</v>
      </c>
      <c r="I89" t="s">
        <v>18</v>
      </c>
      <c r="J89">
        <f>amazon_store_sales_2022__1[[#This Row],[UnitPrice]]*amazon_store_sales_2022__1[[#This Row],[Quantity]]</f>
        <v>2935.84</v>
      </c>
      <c r="K89">
        <f>amazon_store_sales_2022__1[[#This Row],[Total ]]*amazon_store_sales_2022__1[[#This Row],[Discount]]</f>
        <v>234.86720000000003</v>
      </c>
      <c r="L89" s="13">
        <f>amazon_store_sales_2022__1[[#This Row],[Total ]]-amazon_store_sales_2022__1[[#This Row],[Total Discount]]</f>
        <v>2700.9728</v>
      </c>
      <c r="M89">
        <f>YEAR(amazon_store_sales_2022__1[[#This Row],[OrderDate]])</f>
        <v>2022</v>
      </c>
      <c r="N89" t="str" cm="1">
        <f t="array" ref="N89">_xlfn.IFS(L89&lt;500," VeryLow",L89&lt;1000,"Low",L89&lt;2000,"Medium",L89&lt;3000,"High",L89&lt;5000,"VeryHigh")</f>
        <v>High</v>
      </c>
      <c r="O89" t="str" cm="1">
        <f t="array" ref="O89">_xlfn.IFS(G89&lt;0.09,"Low",G89&lt;0.2,"Medium",G89&lt;0.4,"High")</f>
        <v>Low</v>
      </c>
    </row>
    <row r="90" spans="1:15" x14ac:dyDescent="0.3">
      <c r="A90">
        <v>10089</v>
      </c>
      <c r="B90" s="1">
        <v>44650</v>
      </c>
      <c r="C90">
        <v>2048</v>
      </c>
      <c r="D90" t="s">
        <v>19</v>
      </c>
      <c r="E90">
        <v>6</v>
      </c>
      <c r="F90">
        <v>455.21</v>
      </c>
      <c r="G90">
        <v>0.05</v>
      </c>
      <c r="H90" t="s">
        <v>20</v>
      </c>
      <c r="I90" t="s">
        <v>18</v>
      </c>
      <c r="J90">
        <f>amazon_store_sales_2022__1[[#This Row],[UnitPrice]]*amazon_store_sales_2022__1[[#This Row],[Quantity]]</f>
        <v>2731.2599999999998</v>
      </c>
      <c r="K90">
        <f>amazon_store_sales_2022__1[[#This Row],[Total ]]*amazon_store_sales_2022__1[[#This Row],[Discount]]</f>
        <v>136.56299999999999</v>
      </c>
      <c r="L90" s="13">
        <f>amazon_store_sales_2022__1[[#This Row],[Total ]]-amazon_store_sales_2022__1[[#This Row],[Total Discount]]</f>
        <v>2594.6969999999997</v>
      </c>
      <c r="M90">
        <f>YEAR(amazon_store_sales_2022__1[[#This Row],[OrderDate]])</f>
        <v>2022</v>
      </c>
      <c r="N90" t="str" cm="1">
        <f t="array" ref="N90">_xlfn.IFS(L90&lt;500," VeryLow",L90&lt;1000,"Low",L90&lt;2000,"Medium",L90&lt;3000,"High",L90&lt;5000,"VeryHigh")</f>
        <v>High</v>
      </c>
      <c r="O90" t="str" cm="1">
        <f t="array" ref="O90">_xlfn.IFS(G90&lt;0.09,"Low",G90&lt;0.2,"Medium",G90&lt;0.4,"High")</f>
        <v>Low</v>
      </c>
    </row>
    <row r="91" spans="1:15" x14ac:dyDescent="0.3">
      <c r="A91">
        <v>10090</v>
      </c>
      <c r="B91" s="1">
        <v>44651</v>
      </c>
      <c r="C91">
        <v>2015</v>
      </c>
      <c r="D91" t="s">
        <v>14</v>
      </c>
      <c r="E91">
        <v>6</v>
      </c>
      <c r="F91">
        <v>429.39</v>
      </c>
      <c r="G91">
        <v>0.21</v>
      </c>
      <c r="H91" t="s">
        <v>15</v>
      </c>
      <c r="I91" t="s">
        <v>11</v>
      </c>
      <c r="J91">
        <f>amazon_store_sales_2022__1[[#This Row],[UnitPrice]]*amazon_store_sales_2022__1[[#This Row],[Quantity]]</f>
        <v>2576.34</v>
      </c>
      <c r="K91">
        <f>amazon_store_sales_2022__1[[#This Row],[Total ]]*amazon_store_sales_2022__1[[#This Row],[Discount]]</f>
        <v>541.03139999999996</v>
      </c>
      <c r="L91" s="13">
        <f>amazon_store_sales_2022__1[[#This Row],[Total ]]-amazon_store_sales_2022__1[[#This Row],[Total Discount]]</f>
        <v>2035.3086000000003</v>
      </c>
      <c r="M91">
        <f>YEAR(amazon_store_sales_2022__1[[#This Row],[OrderDate]])</f>
        <v>2022</v>
      </c>
      <c r="N91" t="str" cm="1">
        <f t="array" ref="N91">_xlfn.IFS(L91&lt;500," VeryLow",L91&lt;1000,"Low",L91&lt;2000,"Medium",L91&lt;3000,"High",L91&lt;5000,"VeryHigh")</f>
        <v>High</v>
      </c>
      <c r="O91" t="str" cm="1">
        <f t="array" ref="O91">_xlfn.IFS(G91&lt;0.09,"Low",G91&lt;0.2,"Medium",G91&lt;0.4,"High")</f>
        <v>High</v>
      </c>
    </row>
    <row r="92" spans="1:15" x14ac:dyDescent="0.3">
      <c r="A92">
        <v>10091</v>
      </c>
      <c r="B92" s="1">
        <v>44652</v>
      </c>
      <c r="C92">
        <v>2072</v>
      </c>
      <c r="D92" t="s">
        <v>9</v>
      </c>
      <c r="E92">
        <v>8</v>
      </c>
      <c r="F92">
        <v>482.44</v>
      </c>
      <c r="G92">
        <v>0.19</v>
      </c>
      <c r="H92" t="s">
        <v>17</v>
      </c>
      <c r="I92" t="s">
        <v>11</v>
      </c>
      <c r="J92">
        <f>amazon_store_sales_2022__1[[#This Row],[UnitPrice]]*amazon_store_sales_2022__1[[#This Row],[Quantity]]</f>
        <v>3859.52</v>
      </c>
      <c r="K92">
        <f>amazon_store_sales_2022__1[[#This Row],[Total ]]*amazon_store_sales_2022__1[[#This Row],[Discount]]</f>
        <v>733.30880000000002</v>
      </c>
      <c r="L92" s="13">
        <f>amazon_store_sales_2022__1[[#This Row],[Total ]]-amazon_store_sales_2022__1[[#This Row],[Total Discount]]</f>
        <v>3126.2111999999997</v>
      </c>
      <c r="M92">
        <f>YEAR(amazon_store_sales_2022__1[[#This Row],[OrderDate]])</f>
        <v>2022</v>
      </c>
      <c r="N92" t="str" cm="1">
        <f t="array" ref="N92">_xlfn.IFS(L92&lt;500," VeryLow",L92&lt;1000,"Low",L92&lt;2000,"Medium",L92&lt;3000,"High",L92&lt;5000,"VeryHigh")</f>
        <v>VeryHigh</v>
      </c>
      <c r="O92" t="str" cm="1">
        <f t="array" ref="O92">_xlfn.IFS(G92&lt;0.09,"Low",G92&lt;0.2,"Medium",G92&lt;0.4,"High")</f>
        <v>Medium</v>
      </c>
    </row>
    <row r="93" spans="1:15" x14ac:dyDescent="0.3">
      <c r="A93">
        <v>10092</v>
      </c>
      <c r="B93" s="1">
        <v>44653</v>
      </c>
      <c r="C93">
        <v>2078</v>
      </c>
      <c r="D93" t="s">
        <v>12</v>
      </c>
      <c r="E93">
        <v>7</v>
      </c>
      <c r="F93">
        <v>381.25</v>
      </c>
      <c r="G93">
        <v>0.19</v>
      </c>
      <c r="H93" t="s">
        <v>10</v>
      </c>
      <c r="I93" t="s">
        <v>18</v>
      </c>
      <c r="J93">
        <f>amazon_store_sales_2022__1[[#This Row],[UnitPrice]]*amazon_store_sales_2022__1[[#This Row],[Quantity]]</f>
        <v>2668.75</v>
      </c>
      <c r="K93">
        <f>amazon_store_sales_2022__1[[#This Row],[Total ]]*amazon_store_sales_2022__1[[#This Row],[Discount]]</f>
        <v>507.0625</v>
      </c>
      <c r="L93" s="13">
        <f>amazon_store_sales_2022__1[[#This Row],[Total ]]-amazon_store_sales_2022__1[[#This Row],[Total Discount]]</f>
        <v>2161.6875</v>
      </c>
      <c r="M93">
        <f>YEAR(amazon_store_sales_2022__1[[#This Row],[OrderDate]])</f>
        <v>2022</v>
      </c>
      <c r="N93" t="str" cm="1">
        <f t="array" ref="N93">_xlfn.IFS(L93&lt;500," VeryLow",L93&lt;1000,"Low",L93&lt;2000,"Medium",L93&lt;3000,"High",L93&lt;5000,"VeryHigh")</f>
        <v>High</v>
      </c>
      <c r="O93" t="str" cm="1">
        <f t="array" ref="O93">_xlfn.IFS(G93&lt;0.09,"Low",G93&lt;0.2,"Medium",G93&lt;0.4,"High")</f>
        <v>Medium</v>
      </c>
    </row>
    <row r="94" spans="1:15" x14ac:dyDescent="0.3">
      <c r="A94">
        <v>10093</v>
      </c>
      <c r="B94" s="1">
        <v>44654</v>
      </c>
      <c r="C94">
        <v>2087</v>
      </c>
      <c r="D94" t="s">
        <v>19</v>
      </c>
      <c r="E94">
        <v>8</v>
      </c>
      <c r="F94">
        <v>223.94</v>
      </c>
      <c r="G94">
        <v>7.0000000000000007E-2</v>
      </c>
      <c r="H94" t="s">
        <v>20</v>
      </c>
      <c r="I94" t="s">
        <v>11</v>
      </c>
      <c r="J94">
        <f>amazon_store_sales_2022__1[[#This Row],[UnitPrice]]*amazon_store_sales_2022__1[[#This Row],[Quantity]]</f>
        <v>1791.52</v>
      </c>
      <c r="K94">
        <f>amazon_store_sales_2022__1[[#This Row],[Total ]]*amazon_store_sales_2022__1[[#This Row],[Discount]]</f>
        <v>125.4064</v>
      </c>
      <c r="L94" s="13">
        <f>amazon_store_sales_2022__1[[#This Row],[Total ]]-amazon_store_sales_2022__1[[#This Row],[Total Discount]]</f>
        <v>1666.1135999999999</v>
      </c>
      <c r="M94">
        <f>YEAR(amazon_store_sales_2022__1[[#This Row],[OrderDate]])</f>
        <v>2022</v>
      </c>
      <c r="N94" t="str" cm="1">
        <f t="array" ref="N94">_xlfn.IFS(L94&lt;500," VeryLow",L94&lt;1000,"Low",L94&lt;2000,"Medium",L94&lt;3000,"High",L94&lt;5000,"VeryHigh")</f>
        <v>Medium</v>
      </c>
      <c r="O94" t="str" cm="1">
        <f t="array" ref="O94">_xlfn.IFS(G94&lt;0.09,"Low",G94&lt;0.2,"Medium",G94&lt;0.4,"High")</f>
        <v>Low</v>
      </c>
    </row>
    <row r="95" spans="1:15" x14ac:dyDescent="0.3">
      <c r="A95">
        <v>10094</v>
      </c>
      <c r="B95" s="1">
        <v>44655</v>
      </c>
      <c r="C95">
        <v>2062</v>
      </c>
      <c r="D95" t="s">
        <v>16</v>
      </c>
      <c r="E95">
        <v>2</v>
      </c>
      <c r="F95">
        <v>159.41999999999999</v>
      </c>
      <c r="G95">
        <v>7.0000000000000007E-2</v>
      </c>
      <c r="H95" t="s">
        <v>17</v>
      </c>
      <c r="I95" t="s">
        <v>11</v>
      </c>
      <c r="J95">
        <f>amazon_store_sales_2022__1[[#This Row],[UnitPrice]]*amazon_store_sales_2022__1[[#This Row],[Quantity]]</f>
        <v>318.83999999999997</v>
      </c>
      <c r="K95">
        <f>amazon_store_sales_2022__1[[#This Row],[Total ]]*amazon_store_sales_2022__1[[#This Row],[Discount]]</f>
        <v>22.3188</v>
      </c>
      <c r="L95" s="13">
        <f>amazon_store_sales_2022__1[[#This Row],[Total ]]-amazon_store_sales_2022__1[[#This Row],[Total Discount]]</f>
        <v>296.52119999999996</v>
      </c>
      <c r="M95">
        <f>YEAR(amazon_store_sales_2022__1[[#This Row],[OrderDate]])</f>
        <v>2022</v>
      </c>
      <c r="N95" t="str" cm="1">
        <f t="array" ref="N95">_xlfn.IFS(L95&lt;500," VeryLow",L95&lt;1000,"Low",L95&lt;2000,"Medium",L95&lt;3000,"High",L95&lt;5000,"VeryHigh")</f>
        <v xml:space="preserve"> VeryLow</v>
      </c>
      <c r="O95" t="str" cm="1">
        <f t="array" ref="O95">_xlfn.IFS(G95&lt;0.09,"Low",G95&lt;0.2,"Medium",G95&lt;0.4,"High")</f>
        <v>Low</v>
      </c>
    </row>
    <row r="96" spans="1:15" x14ac:dyDescent="0.3">
      <c r="A96">
        <v>10095</v>
      </c>
      <c r="B96" s="1">
        <v>44656</v>
      </c>
      <c r="C96">
        <v>2040</v>
      </c>
      <c r="D96" t="s">
        <v>9</v>
      </c>
      <c r="E96">
        <v>9</v>
      </c>
      <c r="F96">
        <v>163.77000000000001</v>
      </c>
      <c r="G96">
        <v>7.0000000000000007E-2</v>
      </c>
      <c r="H96" t="s">
        <v>13</v>
      </c>
      <c r="I96" t="s">
        <v>18</v>
      </c>
      <c r="J96">
        <f>amazon_store_sales_2022__1[[#This Row],[UnitPrice]]*amazon_store_sales_2022__1[[#This Row],[Quantity]]</f>
        <v>1473.93</v>
      </c>
      <c r="K96">
        <f>amazon_store_sales_2022__1[[#This Row],[Total ]]*amazon_store_sales_2022__1[[#This Row],[Discount]]</f>
        <v>103.17510000000001</v>
      </c>
      <c r="L96" s="13">
        <f>amazon_store_sales_2022__1[[#This Row],[Total ]]-amazon_store_sales_2022__1[[#This Row],[Total Discount]]</f>
        <v>1370.7549000000001</v>
      </c>
      <c r="M96">
        <f>YEAR(amazon_store_sales_2022__1[[#This Row],[OrderDate]])</f>
        <v>2022</v>
      </c>
      <c r="N96" t="str" cm="1">
        <f t="array" ref="N96">_xlfn.IFS(L96&lt;500," VeryLow",L96&lt;1000,"Low",L96&lt;2000,"Medium",L96&lt;3000,"High",L96&lt;5000,"VeryHigh")</f>
        <v>Medium</v>
      </c>
      <c r="O96" t="str" cm="1">
        <f t="array" ref="O96">_xlfn.IFS(G96&lt;0.09,"Low",G96&lt;0.2,"Medium",G96&lt;0.4,"High")</f>
        <v>Low</v>
      </c>
    </row>
    <row r="97" spans="1:15" x14ac:dyDescent="0.3">
      <c r="A97">
        <v>10096</v>
      </c>
      <c r="B97" s="1">
        <v>44657</v>
      </c>
      <c r="C97">
        <v>2085</v>
      </c>
      <c r="D97" t="s">
        <v>19</v>
      </c>
      <c r="E97">
        <v>1</v>
      </c>
      <c r="F97">
        <v>363.59</v>
      </c>
      <c r="G97">
        <v>0.05</v>
      </c>
      <c r="H97" t="s">
        <v>20</v>
      </c>
      <c r="I97" t="s">
        <v>11</v>
      </c>
      <c r="J97">
        <f>amazon_store_sales_2022__1[[#This Row],[UnitPrice]]*amazon_store_sales_2022__1[[#This Row],[Quantity]]</f>
        <v>363.59</v>
      </c>
      <c r="K97">
        <f>amazon_store_sales_2022__1[[#This Row],[Total ]]*amazon_store_sales_2022__1[[#This Row],[Discount]]</f>
        <v>18.179500000000001</v>
      </c>
      <c r="L97" s="13">
        <f>amazon_store_sales_2022__1[[#This Row],[Total ]]-amazon_store_sales_2022__1[[#This Row],[Total Discount]]</f>
        <v>345.41049999999996</v>
      </c>
      <c r="M97">
        <f>YEAR(amazon_store_sales_2022__1[[#This Row],[OrderDate]])</f>
        <v>2022</v>
      </c>
      <c r="N97" t="str" cm="1">
        <f t="array" ref="N97">_xlfn.IFS(L97&lt;500," VeryLow",L97&lt;1000,"Low",L97&lt;2000,"Medium",L97&lt;3000,"High",L97&lt;5000,"VeryHigh")</f>
        <v xml:space="preserve"> VeryLow</v>
      </c>
      <c r="O97" t="str" cm="1">
        <f t="array" ref="O97">_xlfn.IFS(G97&lt;0.09,"Low",G97&lt;0.2,"Medium",G97&lt;0.4,"High")</f>
        <v>Low</v>
      </c>
    </row>
    <row r="98" spans="1:15" x14ac:dyDescent="0.3">
      <c r="A98">
        <v>10097</v>
      </c>
      <c r="B98" s="1">
        <v>44658</v>
      </c>
      <c r="C98">
        <v>2080</v>
      </c>
      <c r="D98" t="s">
        <v>16</v>
      </c>
      <c r="E98">
        <v>8</v>
      </c>
      <c r="F98">
        <v>374.19</v>
      </c>
      <c r="G98">
        <v>0.2</v>
      </c>
      <c r="H98" t="s">
        <v>10</v>
      </c>
      <c r="I98" t="s">
        <v>18</v>
      </c>
      <c r="J98">
        <f>amazon_store_sales_2022__1[[#This Row],[UnitPrice]]*amazon_store_sales_2022__1[[#This Row],[Quantity]]</f>
        <v>2993.52</v>
      </c>
      <c r="K98">
        <f>amazon_store_sales_2022__1[[#This Row],[Total ]]*amazon_store_sales_2022__1[[#This Row],[Discount]]</f>
        <v>598.70400000000006</v>
      </c>
      <c r="L98" s="13">
        <f>amazon_store_sales_2022__1[[#This Row],[Total ]]-amazon_store_sales_2022__1[[#This Row],[Total Discount]]</f>
        <v>2394.8159999999998</v>
      </c>
      <c r="M98">
        <f>YEAR(amazon_store_sales_2022__1[[#This Row],[OrderDate]])</f>
        <v>2022</v>
      </c>
      <c r="N98" t="str" cm="1">
        <f t="array" ref="N98">_xlfn.IFS(L98&lt;500," VeryLow",L98&lt;1000,"Low",L98&lt;2000,"Medium",L98&lt;3000,"High",L98&lt;5000,"VeryHigh")</f>
        <v>High</v>
      </c>
      <c r="O98" t="str" cm="1">
        <f t="array" ref="O98">_xlfn.IFS(G98&lt;0.09,"Low",G98&lt;0.2,"Medium",G98&lt;0.4,"High")</f>
        <v>High</v>
      </c>
    </row>
    <row r="99" spans="1:15" x14ac:dyDescent="0.3">
      <c r="A99">
        <v>10098</v>
      </c>
      <c r="B99" s="1">
        <v>44659</v>
      </c>
      <c r="C99">
        <v>2082</v>
      </c>
      <c r="D99" t="s">
        <v>19</v>
      </c>
      <c r="E99">
        <v>4</v>
      </c>
      <c r="F99">
        <v>104.18</v>
      </c>
      <c r="G99">
        <v>0.25</v>
      </c>
      <c r="H99" t="s">
        <v>10</v>
      </c>
      <c r="I99" t="s">
        <v>18</v>
      </c>
      <c r="J99">
        <f>amazon_store_sales_2022__1[[#This Row],[UnitPrice]]*amazon_store_sales_2022__1[[#This Row],[Quantity]]</f>
        <v>416.72</v>
      </c>
      <c r="K99">
        <f>amazon_store_sales_2022__1[[#This Row],[Total ]]*amazon_store_sales_2022__1[[#This Row],[Discount]]</f>
        <v>104.18</v>
      </c>
      <c r="L99" s="13">
        <f>amazon_store_sales_2022__1[[#This Row],[Total ]]-amazon_store_sales_2022__1[[#This Row],[Total Discount]]</f>
        <v>312.54000000000002</v>
      </c>
      <c r="M99">
        <f>YEAR(amazon_store_sales_2022__1[[#This Row],[OrderDate]])</f>
        <v>2022</v>
      </c>
      <c r="N99" t="str" cm="1">
        <f t="array" ref="N99">_xlfn.IFS(L99&lt;500," VeryLow",L99&lt;1000,"Low",L99&lt;2000,"Medium",L99&lt;3000,"High",L99&lt;5000,"VeryHigh")</f>
        <v xml:space="preserve"> VeryLow</v>
      </c>
      <c r="O99" t="str" cm="1">
        <f t="array" ref="O99">_xlfn.IFS(G99&lt;0.09,"Low",G99&lt;0.2,"Medium",G99&lt;0.4,"High")</f>
        <v>High</v>
      </c>
    </row>
    <row r="100" spans="1:15" x14ac:dyDescent="0.3">
      <c r="A100">
        <v>10099</v>
      </c>
      <c r="B100" s="1">
        <v>44660</v>
      </c>
      <c r="C100">
        <v>2053</v>
      </c>
      <c r="D100" t="s">
        <v>14</v>
      </c>
      <c r="E100">
        <v>4</v>
      </c>
      <c r="F100">
        <v>434.72</v>
      </c>
      <c r="G100">
        <v>0.22</v>
      </c>
      <c r="H100" t="s">
        <v>13</v>
      </c>
      <c r="I100" t="s">
        <v>11</v>
      </c>
      <c r="J100">
        <f>amazon_store_sales_2022__1[[#This Row],[UnitPrice]]*amazon_store_sales_2022__1[[#This Row],[Quantity]]</f>
        <v>1738.88</v>
      </c>
      <c r="K100">
        <f>amazon_store_sales_2022__1[[#This Row],[Total ]]*amazon_store_sales_2022__1[[#This Row],[Discount]]</f>
        <v>382.55360000000002</v>
      </c>
      <c r="L100" s="13">
        <f>amazon_store_sales_2022__1[[#This Row],[Total ]]-amazon_store_sales_2022__1[[#This Row],[Total Discount]]</f>
        <v>1356.3264000000001</v>
      </c>
      <c r="M100">
        <f>YEAR(amazon_store_sales_2022__1[[#This Row],[OrderDate]])</f>
        <v>2022</v>
      </c>
      <c r="N100" t="str" cm="1">
        <f t="array" ref="N100">_xlfn.IFS(L100&lt;500," VeryLow",L100&lt;1000,"Low",L100&lt;2000,"Medium",L100&lt;3000,"High",L100&lt;5000,"VeryHigh")</f>
        <v>Medium</v>
      </c>
      <c r="O100" t="str" cm="1">
        <f t="array" ref="O100">_xlfn.IFS(G100&lt;0.09,"Low",G100&lt;0.2,"Medium",G100&lt;0.4,"High")</f>
        <v>High</v>
      </c>
    </row>
    <row r="101" spans="1:15" x14ac:dyDescent="0.3">
      <c r="A101">
        <v>10100</v>
      </c>
      <c r="B101" s="1">
        <v>44661</v>
      </c>
      <c r="C101">
        <v>2024</v>
      </c>
      <c r="D101" t="s">
        <v>19</v>
      </c>
      <c r="E101">
        <v>5</v>
      </c>
      <c r="F101">
        <v>358.89</v>
      </c>
      <c r="G101">
        <v>0.24</v>
      </c>
      <c r="H101" t="s">
        <v>13</v>
      </c>
      <c r="I101" t="s">
        <v>18</v>
      </c>
      <c r="J101">
        <f>amazon_store_sales_2022__1[[#This Row],[UnitPrice]]*amazon_store_sales_2022__1[[#This Row],[Quantity]]</f>
        <v>1794.4499999999998</v>
      </c>
      <c r="K101">
        <f>amazon_store_sales_2022__1[[#This Row],[Total ]]*amazon_store_sales_2022__1[[#This Row],[Discount]]</f>
        <v>430.66799999999995</v>
      </c>
      <c r="L101" s="13">
        <f>amazon_store_sales_2022__1[[#This Row],[Total ]]-amazon_store_sales_2022__1[[#This Row],[Total Discount]]</f>
        <v>1363.7819999999999</v>
      </c>
      <c r="M101">
        <f>YEAR(amazon_store_sales_2022__1[[#This Row],[OrderDate]])</f>
        <v>2022</v>
      </c>
      <c r="N101" t="str" cm="1">
        <f t="array" ref="N101">_xlfn.IFS(L101&lt;500," VeryLow",L101&lt;1000,"Low",L101&lt;2000,"Medium",L101&lt;3000,"High",L101&lt;5000,"VeryHigh")</f>
        <v>Medium</v>
      </c>
      <c r="O101" t="str" cm="1">
        <f t="array" ref="O101">_xlfn.IFS(G101&lt;0.09,"Low",G101&lt;0.2,"Medium",G101&lt;0.4,"High")</f>
        <v>High</v>
      </c>
    </row>
    <row r="102" spans="1:15" x14ac:dyDescent="0.3">
      <c r="A102">
        <v>10101</v>
      </c>
      <c r="B102" s="1">
        <v>44662</v>
      </c>
      <c r="C102">
        <v>2026</v>
      </c>
      <c r="D102" t="s">
        <v>19</v>
      </c>
      <c r="E102">
        <v>8</v>
      </c>
      <c r="F102">
        <v>283.56</v>
      </c>
      <c r="G102">
        <v>0.12</v>
      </c>
      <c r="H102" t="s">
        <v>20</v>
      </c>
      <c r="I102" t="s">
        <v>18</v>
      </c>
      <c r="J102">
        <f>amazon_store_sales_2022__1[[#This Row],[UnitPrice]]*amazon_store_sales_2022__1[[#This Row],[Quantity]]</f>
        <v>2268.48</v>
      </c>
      <c r="K102">
        <f>amazon_store_sales_2022__1[[#This Row],[Total ]]*amazon_store_sales_2022__1[[#This Row],[Discount]]</f>
        <v>272.2176</v>
      </c>
      <c r="L102" s="13">
        <f>amazon_store_sales_2022__1[[#This Row],[Total ]]-amazon_store_sales_2022__1[[#This Row],[Total Discount]]</f>
        <v>1996.2624000000001</v>
      </c>
      <c r="M102">
        <f>YEAR(amazon_store_sales_2022__1[[#This Row],[OrderDate]])</f>
        <v>2022</v>
      </c>
      <c r="N102" t="str" cm="1">
        <f t="array" ref="N102">_xlfn.IFS(L102&lt;500," VeryLow",L102&lt;1000,"Low",L102&lt;2000,"Medium",L102&lt;3000,"High",L102&lt;5000,"VeryHigh")</f>
        <v>Medium</v>
      </c>
      <c r="O102" t="str" cm="1">
        <f t="array" ref="O102">_xlfn.IFS(G102&lt;0.09,"Low",G102&lt;0.2,"Medium",G102&lt;0.4,"High")</f>
        <v>Medium</v>
      </c>
    </row>
    <row r="103" spans="1:15" x14ac:dyDescent="0.3">
      <c r="A103">
        <v>10102</v>
      </c>
      <c r="B103" s="1">
        <v>44663</v>
      </c>
      <c r="C103">
        <v>2089</v>
      </c>
      <c r="D103" t="s">
        <v>19</v>
      </c>
      <c r="E103">
        <v>5</v>
      </c>
      <c r="F103">
        <v>238.41</v>
      </c>
      <c r="G103">
        <v>0.2</v>
      </c>
      <c r="H103" t="s">
        <v>15</v>
      </c>
      <c r="I103" t="s">
        <v>11</v>
      </c>
      <c r="J103">
        <f>amazon_store_sales_2022__1[[#This Row],[UnitPrice]]*amazon_store_sales_2022__1[[#This Row],[Quantity]]</f>
        <v>1192.05</v>
      </c>
      <c r="K103">
        <f>amazon_store_sales_2022__1[[#This Row],[Total ]]*amazon_store_sales_2022__1[[#This Row],[Discount]]</f>
        <v>238.41</v>
      </c>
      <c r="L103" s="13">
        <f>amazon_store_sales_2022__1[[#This Row],[Total ]]-amazon_store_sales_2022__1[[#This Row],[Total Discount]]</f>
        <v>953.64</v>
      </c>
      <c r="M103">
        <f>YEAR(amazon_store_sales_2022__1[[#This Row],[OrderDate]])</f>
        <v>2022</v>
      </c>
      <c r="N103" t="str" cm="1">
        <f t="array" ref="N103">_xlfn.IFS(L103&lt;500," VeryLow",L103&lt;1000,"Low",L103&lt;2000,"Medium",L103&lt;3000,"High",L103&lt;5000,"VeryHigh")</f>
        <v>Low</v>
      </c>
      <c r="O103" t="str" cm="1">
        <f t="array" ref="O103">_xlfn.IFS(G103&lt;0.09,"Low",G103&lt;0.2,"Medium",G103&lt;0.4,"High")</f>
        <v>High</v>
      </c>
    </row>
    <row r="104" spans="1:15" x14ac:dyDescent="0.3">
      <c r="A104">
        <v>10103</v>
      </c>
      <c r="B104" s="1">
        <v>44664</v>
      </c>
      <c r="C104">
        <v>2060</v>
      </c>
      <c r="D104" t="s">
        <v>9</v>
      </c>
      <c r="E104">
        <v>8</v>
      </c>
      <c r="F104">
        <v>273.89999999999998</v>
      </c>
      <c r="G104">
        <v>0.11</v>
      </c>
      <c r="H104" t="s">
        <v>13</v>
      </c>
      <c r="I104" t="s">
        <v>11</v>
      </c>
      <c r="J104">
        <f>amazon_store_sales_2022__1[[#This Row],[UnitPrice]]*amazon_store_sales_2022__1[[#This Row],[Quantity]]</f>
        <v>2191.1999999999998</v>
      </c>
      <c r="K104">
        <f>amazon_store_sales_2022__1[[#This Row],[Total ]]*amazon_store_sales_2022__1[[#This Row],[Discount]]</f>
        <v>241.03199999999998</v>
      </c>
      <c r="L104" s="13">
        <f>amazon_store_sales_2022__1[[#This Row],[Total ]]-amazon_store_sales_2022__1[[#This Row],[Total Discount]]</f>
        <v>1950.1679999999999</v>
      </c>
      <c r="M104">
        <f>YEAR(amazon_store_sales_2022__1[[#This Row],[OrderDate]])</f>
        <v>2022</v>
      </c>
      <c r="N104" t="str" cm="1">
        <f t="array" ref="N104">_xlfn.IFS(L104&lt;500," VeryLow",L104&lt;1000,"Low",L104&lt;2000,"Medium",L104&lt;3000,"High",L104&lt;5000,"VeryHigh")</f>
        <v>Medium</v>
      </c>
      <c r="O104" t="str" cm="1">
        <f t="array" ref="O104">_xlfn.IFS(G104&lt;0.09,"Low",G104&lt;0.2,"Medium",G104&lt;0.4,"High")</f>
        <v>Medium</v>
      </c>
    </row>
    <row r="105" spans="1:15" x14ac:dyDescent="0.3">
      <c r="A105">
        <v>10104</v>
      </c>
      <c r="B105" s="1">
        <v>44665</v>
      </c>
      <c r="C105">
        <v>2041</v>
      </c>
      <c r="D105" t="s">
        <v>19</v>
      </c>
      <c r="E105">
        <v>1</v>
      </c>
      <c r="F105">
        <v>83.83</v>
      </c>
      <c r="G105">
        <v>0.16</v>
      </c>
      <c r="H105" t="s">
        <v>15</v>
      </c>
      <c r="I105" t="s">
        <v>11</v>
      </c>
      <c r="J105">
        <f>amazon_store_sales_2022__1[[#This Row],[UnitPrice]]*amazon_store_sales_2022__1[[#This Row],[Quantity]]</f>
        <v>83.83</v>
      </c>
      <c r="K105">
        <f>amazon_store_sales_2022__1[[#This Row],[Total ]]*amazon_store_sales_2022__1[[#This Row],[Discount]]</f>
        <v>13.412800000000001</v>
      </c>
      <c r="L105" s="13">
        <f>amazon_store_sales_2022__1[[#This Row],[Total ]]-amazon_store_sales_2022__1[[#This Row],[Total Discount]]</f>
        <v>70.417199999999994</v>
      </c>
      <c r="M105">
        <f>YEAR(amazon_store_sales_2022__1[[#This Row],[OrderDate]])</f>
        <v>2022</v>
      </c>
      <c r="N105" t="str" cm="1">
        <f t="array" ref="N105">_xlfn.IFS(L105&lt;500," VeryLow",L105&lt;1000,"Low",L105&lt;2000,"Medium",L105&lt;3000,"High",L105&lt;5000,"VeryHigh")</f>
        <v xml:space="preserve"> VeryLow</v>
      </c>
      <c r="O105" t="str" cm="1">
        <f t="array" ref="O105">_xlfn.IFS(G105&lt;0.09,"Low",G105&lt;0.2,"Medium",G105&lt;0.4,"High")</f>
        <v>Medium</v>
      </c>
    </row>
    <row r="106" spans="1:15" x14ac:dyDescent="0.3">
      <c r="A106">
        <v>10105</v>
      </c>
      <c r="B106" s="1">
        <v>44666</v>
      </c>
      <c r="C106">
        <v>2029</v>
      </c>
      <c r="D106" t="s">
        <v>16</v>
      </c>
      <c r="E106">
        <v>9</v>
      </c>
      <c r="F106">
        <v>105.83</v>
      </c>
      <c r="G106">
        <v>0.14000000000000001</v>
      </c>
      <c r="H106" t="s">
        <v>17</v>
      </c>
      <c r="I106" t="s">
        <v>18</v>
      </c>
      <c r="J106">
        <f>amazon_store_sales_2022__1[[#This Row],[UnitPrice]]*amazon_store_sales_2022__1[[#This Row],[Quantity]]</f>
        <v>952.47</v>
      </c>
      <c r="K106">
        <f>amazon_store_sales_2022__1[[#This Row],[Total ]]*amazon_store_sales_2022__1[[#This Row],[Discount]]</f>
        <v>133.34580000000003</v>
      </c>
      <c r="L106" s="13">
        <f>amazon_store_sales_2022__1[[#This Row],[Total ]]-amazon_store_sales_2022__1[[#This Row],[Total Discount]]</f>
        <v>819.12419999999997</v>
      </c>
      <c r="M106">
        <f>YEAR(amazon_store_sales_2022__1[[#This Row],[OrderDate]])</f>
        <v>2022</v>
      </c>
      <c r="N106" t="str" cm="1">
        <f t="array" ref="N106">_xlfn.IFS(L106&lt;500," VeryLow",L106&lt;1000,"Low",L106&lt;2000,"Medium",L106&lt;3000,"High",L106&lt;5000,"VeryHigh")</f>
        <v>Low</v>
      </c>
      <c r="O106" t="str" cm="1">
        <f t="array" ref="O106">_xlfn.IFS(G106&lt;0.09,"Low",G106&lt;0.2,"Medium",G106&lt;0.4,"High")</f>
        <v>Medium</v>
      </c>
    </row>
    <row r="107" spans="1:15" x14ac:dyDescent="0.3">
      <c r="A107">
        <v>10106</v>
      </c>
      <c r="B107" s="1">
        <v>44667</v>
      </c>
      <c r="C107">
        <v>2015</v>
      </c>
      <c r="D107" t="s">
        <v>14</v>
      </c>
      <c r="E107">
        <v>6</v>
      </c>
      <c r="F107">
        <v>50.13</v>
      </c>
      <c r="G107">
        <v>0.05</v>
      </c>
      <c r="H107" t="s">
        <v>10</v>
      </c>
      <c r="I107" t="s">
        <v>18</v>
      </c>
      <c r="J107">
        <f>amazon_store_sales_2022__1[[#This Row],[UnitPrice]]*amazon_store_sales_2022__1[[#This Row],[Quantity]]</f>
        <v>300.78000000000003</v>
      </c>
      <c r="K107">
        <f>amazon_store_sales_2022__1[[#This Row],[Total ]]*amazon_store_sales_2022__1[[#This Row],[Discount]]</f>
        <v>15.039000000000001</v>
      </c>
      <c r="L107" s="13">
        <f>amazon_store_sales_2022__1[[#This Row],[Total ]]-amazon_store_sales_2022__1[[#This Row],[Total Discount]]</f>
        <v>285.74100000000004</v>
      </c>
      <c r="M107">
        <f>YEAR(amazon_store_sales_2022__1[[#This Row],[OrderDate]])</f>
        <v>2022</v>
      </c>
      <c r="N107" t="str" cm="1">
        <f t="array" ref="N107">_xlfn.IFS(L107&lt;500," VeryLow",L107&lt;1000,"Low",L107&lt;2000,"Medium",L107&lt;3000,"High",L107&lt;5000,"VeryHigh")</f>
        <v xml:space="preserve"> VeryLow</v>
      </c>
      <c r="O107" t="str" cm="1">
        <f t="array" ref="O107">_xlfn.IFS(G107&lt;0.09,"Low",G107&lt;0.2,"Medium",G107&lt;0.4,"High")</f>
        <v>Low</v>
      </c>
    </row>
    <row r="108" spans="1:15" x14ac:dyDescent="0.3">
      <c r="A108">
        <v>10107</v>
      </c>
      <c r="B108" s="1">
        <v>44668</v>
      </c>
      <c r="C108">
        <v>2045</v>
      </c>
      <c r="D108" t="s">
        <v>14</v>
      </c>
      <c r="E108">
        <v>3</v>
      </c>
      <c r="F108">
        <v>81.06</v>
      </c>
      <c r="G108">
        <v>0.12</v>
      </c>
      <c r="H108" t="s">
        <v>15</v>
      </c>
      <c r="I108" t="s">
        <v>11</v>
      </c>
      <c r="J108">
        <f>amazon_store_sales_2022__1[[#This Row],[UnitPrice]]*amazon_store_sales_2022__1[[#This Row],[Quantity]]</f>
        <v>243.18</v>
      </c>
      <c r="K108">
        <f>amazon_store_sales_2022__1[[#This Row],[Total ]]*amazon_store_sales_2022__1[[#This Row],[Discount]]</f>
        <v>29.1816</v>
      </c>
      <c r="L108" s="13">
        <f>amazon_store_sales_2022__1[[#This Row],[Total ]]-amazon_store_sales_2022__1[[#This Row],[Total Discount]]</f>
        <v>213.9984</v>
      </c>
      <c r="M108">
        <f>YEAR(amazon_store_sales_2022__1[[#This Row],[OrderDate]])</f>
        <v>2022</v>
      </c>
      <c r="N108" t="str" cm="1">
        <f t="array" ref="N108">_xlfn.IFS(L108&lt;500," VeryLow",L108&lt;1000,"Low",L108&lt;2000,"Medium",L108&lt;3000,"High",L108&lt;5000,"VeryHigh")</f>
        <v xml:space="preserve"> VeryLow</v>
      </c>
      <c r="O108" t="str" cm="1">
        <f t="array" ref="O108">_xlfn.IFS(G108&lt;0.09,"Low",G108&lt;0.2,"Medium",G108&lt;0.4,"High")</f>
        <v>Medium</v>
      </c>
    </row>
    <row r="109" spans="1:15" x14ac:dyDescent="0.3">
      <c r="A109">
        <v>10108</v>
      </c>
      <c r="B109" s="1">
        <v>44669</v>
      </c>
      <c r="C109">
        <v>2065</v>
      </c>
      <c r="D109" t="s">
        <v>19</v>
      </c>
      <c r="E109">
        <v>8</v>
      </c>
      <c r="F109">
        <v>229.58</v>
      </c>
      <c r="G109">
        <v>0.28999999999999998</v>
      </c>
      <c r="H109" t="s">
        <v>10</v>
      </c>
      <c r="I109" t="s">
        <v>18</v>
      </c>
      <c r="J109">
        <f>amazon_store_sales_2022__1[[#This Row],[UnitPrice]]*amazon_store_sales_2022__1[[#This Row],[Quantity]]</f>
        <v>1836.64</v>
      </c>
      <c r="K109">
        <f>amazon_store_sales_2022__1[[#This Row],[Total ]]*amazon_store_sales_2022__1[[#This Row],[Discount]]</f>
        <v>532.62559999999996</v>
      </c>
      <c r="L109" s="13">
        <f>amazon_store_sales_2022__1[[#This Row],[Total ]]-amazon_store_sales_2022__1[[#This Row],[Total Discount]]</f>
        <v>1304.0144</v>
      </c>
      <c r="M109">
        <f>YEAR(amazon_store_sales_2022__1[[#This Row],[OrderDate]])</f>
        <v>2022</v>
      </c>
      <c r="N109" t="str" cm="1">
        <f t="array" ref="N109">_xlfn.IFS(L109&lt;500," VeryLow",L109&lt;1000,"Low",L109&lt;2000,"Medium",L109&lt;3000,"High",L109&lt;5000,"VeryHigh")</f>
        <v>Medium</v>
      </c>
      <c r="O109" t="str" cm="1">
        <f t="array" ref="O109">_xlfn.IFS(G109&lt;0.09,"Low",G109&lt;0.2,"Medium",G109&lt;0.4,"High")</f>
        <v>High</v>
      </c>
    </row>
    <row r="110" spans="1:15" x14ac:dyDescent="0.3">
      <c r="A110">
        <v>10109</v>
      </c>
      <c r="B110" s="1">
        <v>44670</v>
      </c>
      <c r="C110">
        <v>2089</v>
      </c>
      <c r="D110" t="s">
        <v>9</v>
      </c>
      <c r="E110">
        <v>9</v>
      </c>
      <c r="F110">
        <v>267.52999999999997</v>
      </c>
      <c r="G110">
        <v>7.0000000000000007E-2</v>
      </c>
      <c r="H110" t="s">
        <v>15</v>
      </c>
      <c r="I110" t="s">
        <v>11</v>
      </c>
      <c r="J110">
        <f>amazon_store_sales_2022__1[[#This Row],[UnitPrice]]*amazon_store_sales_2022__1[[#This Row],[Quantity]]</f>
        <v>2407.7699999999995</v>
      </c>
      <c r="K110">
        <f>amazon_store_sales_2022__1[[#This Row],[Total ]]*amazon_store_sales_2022__1[[#This Row],[Discount]]</f>
        <v>168.54389999999998</v>
      </c>
      <c r="L110" s="13">
        <f>amazon_store_sales_2022__1[[#This Row],[Total ]]-amazon_store_sales_2022__1[[#This Row],[Total Discount]]</f>
        <v>2239.2260999999994</v>
      </c>
      <c r="M110">
        <f>YEAR(amazon_store_sales_2022__1[[#This Row],[OrderDate]])</f>
        <v>2022</v>
      </c>
      <c r="N110" t="str" cm="1">
        <f t="array" ref="N110">_xlfn.IFS(L110&lt;500," VeryLow",L110&lt;1000,"Low",L110&lt;2000,"Medium",L110&lt;3000,"High",L110&lt;5000,"VeryHigh")</f>
        <v>High</v>
      </c>
      <c r="O110" t="str" cm="1">
        <f t="array" ref="O110">_xlfn.IFS(G110&lt;0.09,"Low",G110&lt;0.2,"Medium",G110&lt;0.4,"High")</f>
        <v>Low</v>
      </c>
    </row>
    <row r="111" spans="1:15" x14ac:dyDescent="0.3">
      <c r="A111">
        <v>10110</v>
      </c>
      <c r="B111" s="1">
        <v>44671</v>
      </c>
      <c r="C111">
        <v>2071</v>
      </c>
      <c r="D111" t="s">
        <v>9</v>
      </c>
      <c r="E111">
        <v>6</v>
      </c>
      <c r="F111">
        <v>13.84</v>
      </c>
      <c r="G111">
        <v>0.04</v>
      </c>
      <c r="H111" t="s">
        <v>17</v>
      </c>
      <c r="I111" t="s">
        <v>11</v>
      </c>
      <c r="J111">
        <f>amazon_store_sales_2022__1[[#This Row],[UnitPrice]]*amazon_store_sales_2022__1[[#This Row],[Quantity]]</f>
        <v>83.039999999999992</v>
      </c>
      <c r="K111">
        <f>amazon_store_sales_2022__1[[#This Row],[Total ]]*amazon_store_sales_2022__1[[#This Row],[Discount]]</f>
        <v>3.3215999999999997</v>
      </c>
      <c r="L111" s="13">
        <f>amazon_store_sales_2022__1[[#This Row],[Total ]]-amazon_store_sales_2022__1[[#This Row],[Total Discount]]</f>
        <v>79.718399999999988</v>
      </c>
      <c r="M111">
        <f>YEAR(amazon_store_sales_2022__1[[#This Row],[OrderDate]])</f>
        <v>2022</v>
      </c>
      <c r="N111" t="str" cm="1">
        <f t="array" ref="N111">_xlfn.IFS(L111&lt;500," VeryLow",L111&lt;1000,"Low",L111&lt;2000,"Medium",L111&lt;3000,"High",L111&lt;5000,"VeryHigh")</f>
        <v xml:space="preserve"> VeryLow</v>
      </c>
      <c r="O111" t="str" cm="1">
        <f t="array" ref="O111">_xlfn.IFS(G111&lt;0.09,"Low",G111&lt;0.2,"Medium",G111&lt;0.4,"High")</f>
        <v>Low</v>
      </c>
    </row>
    <row r="112" spans="1:15" x14ac:dyDescent="0.3">
      <c r="A112">
        <v>10111</v>
      </c>
      <c r="B112" s="1">
        <v>44672</v>
      </c>
      <c r="C112">
        <v>2009</v>
      </c>
      <c r="D112" t="s">
        <v>16</v>
      </c>
      <c r="E112">
        <v>7</v>
      </c>
      <c r="F112">
        <v>399.41</v>
      </c>
      <c r="G112">
        <v>0.13</v>
      </c>
      <c r="H112" t="s">
        <v>13</v>
      </c>
      <c r="I112" t="s">
        <v>18</v>
      </c>
      <c r="J112">
        <f>amazon_store_sales_2022__1[[#This Row],[UnitPrice]]*amazon_store_sales_2022__1[[#This Row],[Quantity]]</f>
        <v>2795.8700000000003</v>
      </c>
      <c r="K112">
        <f>amazon_store_sales_2022__1[[#This Row],[Total ]]*amazon_store_sales_2022__1[[#This Row],[Discount]]</f>
        <v>363.46310000000005</v>
      </c>
      <c r="L112" s="13">
        <f>amazon_store_sales_2022__1[[#This Row],[Total ]]-amazon_store_sales_2022__1[[#This Row],[Total Discount]]</f>
        <v>2432.4069000000004</v>
      </c>
      <c r="M112">
        <f>YEAR(amazon_store_sales_2022__1[[#This Row],[OrderDate]])</f>
        <v>2022</v>
      </c>
      <c r="N112" t="str" cm="1">
        <f t="array" ref="N112">_xlfn.IFS(L112&lt;500," VeryLow",L112&lt;1000,"Low",L112&lt;2000,"Medium",L112&lt;3000,"High",L112&lt;5000,"VeryHigh")</f>
        <v>High</v>
      </c>
      <c r="O112" t="str" cm="1">
        <f t="array" ref="O112">_xlfn.IFS(G112&lt;0.09,"Low",G112&lt;0.2,"Medium",G112&lt;0.4,"High")</f>
        <v>Medium</v>
      </c>
    </row>
    <row r="113" spans="1:15" x14ac:dyDescent="0.3">
      <c r="A113">
        <v>10112</v>
      </c>
      <c r="B113" s="1">
        <v>44673</v>
      </c>
      <c r="C113">
        <v>2088</v>
      </c>
      <c r="D113" t="s">
        <v>19</v>
      </c>
      <c r="E113">
        <v>1</v>
      </c>
      <c r="F113">
        <v>150.61000000000001</v>
      </c>
      <c r="G113">
        <v>0.24</v>
      </c>
      <c r="H113" t="s">
        <v>17</v>
      </c>
      <c r="I113" t="s">
        <v>11</v>
      </c>
      <c r="J113">
        <f>amazon_store_sales_2022__1[[#This Row],[UnitPrice]]*amazon_store_sales_2022__1[[#This Row],[Quantity]]</f>
        <v>150.61000000000001</v>
      </c>
      <c r="K113">
        <f>amazon_store_sales_2022__1[[#This Row],[Total ]]*amazon_store_sales_2022__1[[#This Row],[Discount]]</f>
        <v>36.1464</v>
      </c>
      <c r="L113" s="13">
        <f>amazon_store_sales_2022__1[[#This Row],[Total ]]-amazon_store_sales_2022__1[[#This Row],[Total Discount]]</f>
        <v>114.46360000000001</v>
      </c>
      <c r="M113">
        <f>YEAR(amazon_store_sales_2022__1[[#This Row],[OrderDate]])</f>
        <v>2022</v>
      </c>
      <c r="N113" t="str" cm="1">
        <f t="array" ref="N113">_xlfn.IFS(L113&lt;500," VeryLow",L113&lt;1000,"Low",L113&lt;2000,"Medium",L113&lt;3000,"High",L113&lt;5000,"VeryHigh")</f>
        <v xml:space="preserve"> VeryLow</v>
      </c>
      <c r="O113" t="str" cm="1">
        <f t="array" ref="O113">_xlfn.IFS(G113&lt;0.09,"Low",G113&lt;0.2,"Medium",G113&lt;0.4,"High")</f>
        <v>High</v>
      </c>
    </row>
    <row r="114" spans="1:15" x14ac:dyDescent="0.3">
      <c r="A114">
        <v>10113</v>
      </c>
      <c r="B114" s="1">
        <v>44674</v>
      </c>
      <c r="C114">
        <v>2001</v>
      </c>
      <c r="D114" t="s">
        <v>14</v>
      </c>
      <c r="E114">
        <v>5</v>
      </c>
      <c r="F114">
        <v>456.36</v>
      </c>
      <c r="G114">
        <v>0.17</v>
      </c>
      <c r="H114" t="s">
        <v>13</v>
      </c>
      <c r="I114" t="s">
        <v>18</v>
      </c>
      <c r="J114">
        <f>amazon_store_sales_2022__1[[#This Row],[UnitPrice]]*amazon_store_sales_2022__1[[#This Row],[Quantity]]</f>
        <v>2281.8000000000002</v>
      </c>
      <c r="K114">
        <f>amazon_store_sales_2022__1[[#This Row],[Total ]]*amazon_store_sales_2022__1[[#This Row],[Discount]]</f>
        <v>387.90600000000006</v>
      </c>
      <c r="L114" s="13">
        <f>amazon_store_sales_2022__1[[#This Row],[Total ]]-amazon_store_sales_2022__1[[#This Row],[Total Discount]]</f>
        <v>1893.8940000000002</v>
      </c>
      <c r="M114">
        <f>YEAR(amazon_store_sales_2022__1[[#This Row],[OrderDate]])</f>
        <v>2022</v>
      </c>
      <c r="N114" t="str" cm="1">
        <f t="array" ref="N114">_xlfn.IFS(L114&lt;500," VeryLow",L114&lt;1000,"Low",L114&lt;2000,"Medium",L114&lt;3000,"High",L114&lt;5000,"VeryHigh")</f>
        <v>Medium</v>
      </c>
      <c r="O114" t="str" cm="1">
        <f t="array" ref="O114">_xlfn.IFS(G114&lt;0.09,"Low",G114&lt;0.2,"Medium",G114&lt;0.4,"High")</f>
        <v>Medium</v>
      </c>
    </row>
    <row r="115" spans="1:15" x14ac:dyDescent="0.3">
      <c r="A115">
        <v>10114</v>
      </c>
      <c r="B115" s="1">
        <v>44675</v>
      </c>
      <c r="C115">
        <v>2008</v>
      </c>
      <c r="D115" t="s">
        <v>9</v>
      </c>
      <c r="E115">
        <v>5</v>
      </c>
      <c r="F115">
        <v>483.92</v>
      </c>
      <c r="G115">
        <v>0.2</v>
      </c>
      <c r="H115" t="s">
        <v>13</v>
      </c>
      <c r="I115" t="s">
        <v>18</v>
      </c>
      <c r="J115">
        <f>amazon_store_sales_2022__1[[#This Row],[UnitPrice]]*amazon_store_sales_2022__1[[#This Row],[Quantity]]</f>
        <v>2419.6</v>
      </c>
      <c r="K115">
        <f>amazon_store_sales_2022__1[[#This Row],[Total ]]*amazon_store_sales_2022__1[[#This Row],[Discount]]</f>
        <v>483.92</v>
      </c>
      <c r="L115" s="13">
        <f>amazon_store_sales_2022__1[[#This Row],[Total ]]-amazon_store_sales_2022__1[[#This Row],[Total Discount]]</f>
        <v>1935.6799999999998</v>
      </c>
      <c r="M115">
        <f>YEAR(amazon_store_sales_2022__1[[#This Row],[OrderDate]])</f>
        <v>2022</v>
      </c>
      <c r="N115" t="str" cm="1">
        <f t="array" ref="N115">_xlfn.IFS(L115&lt;500," VeryLow",L115&lt;1000,"Low",L115&lt;2000,"Medium",L115&lt;3000,"High",L115&lt;5000,"VeryHigh")</f>
        <v>Medium</v>
      </c>
      <c r="O115" t="str" cm="1">
        <f t="array" ref="O115">_xlfn.IFS(G115&lt;0.09,"Low",G115&lt;0.2,"Medium",G115&lt;0.4,"High")</f>
        <v>High</v>
      </c>
    </row>
    <row r="116" spans="1:15" x14ac:dyDescent="0.3">
      <c r="A116">
        <v>10115</v>
      </c>
      <c r="B116" s="1">
        <v>44676</v>
      </c>
      <c r="C116">
        <v>2088</v>
      </c>
      <c r="D116" t="s">
        <v>19</v>
      </c>
      <c r="E116">
        <v>4</v>
      </c>
      <c r="F116">
        <v>96.8</v>
      </c>
      <c r="G116">
        <v>0.06</v>
      </c>
      <c r="H116" t="s">
        <v>10</v>
      </c>
      <c r="I116" t="s">
        <v>11</v>
      </c>
      <c r="J116">
        <f>amazon_store_sales_2022__1[[#This Row],[UnitPrice]]*amazon_store_sales_2022__1[[#This Row],[Quantity]]</f>
        <v>387.2</v>
      </c>
      <c r="K116">
        <f>amazon_store_sales_2022__1[[#This Row],[Total ]]*amazon_store_sales_2022__1[[#This Row],[Discount]]</f>
        <v>23.231999999999999</v>
      </c>
      <c r="L116" s="13">
        <f>amazon_store_sales_2022__1[[#This Row],[Total ]]-amazon_store_sales_2022__1[[#This Row],[Total Discount]]</f>
        <v>363.96799999999996</v>
      </c>
      <c r="M116">
        <f>YEAR(amazon_store_sales_2022__1[[#This Row],[OrderDate]])</f>
        <v>2022</v>
      </c>
      <c r="N116" t="str" cm="1">
        <f t="array" ref="N116">_xlfn.IFS(L116&lt;500," VeryLow",L116&lt;1000,"Low",L116&lt;2000,"Medium",L116&lt;3000,"High",L116&lt;5000,"VeryHigh")</f>
        <v xml:space="preserve"> VeryLow</v>
      </c>
      <c r="O116" t="str" cm="1">
        <f t="array" ref="O116">_xlfn.IFS(G116&lt;0.09,"Low",G116&lt;0.2,"Medium",G116&lt;0.4,"High")</f>
        <v>Low</v>
      </c>
    </row>
    <row r="117" spans="1:15" x14ac:dyDescent="0.3">
      <c r="A117">
        <v>10116</v>
      </c>
      <c r="B117" s="1">
        <v>44677</v>
      </c>
      <c r="C117">
        <v>2063</v>
      </c>
      <c r="D117" t="s">
        <v>9</v>
      </c>
      <c r="E117">
        <v>6</v>
      </c>
      <c r="F117">
        <v>233.74</v>
      </c>
      <c r="G117">
        <v>0.19</v>
      </c>
      <c r="H117" t="s">
        <v>17</v>
      </c>
      <c r="I117" t="s">
        <v>18</v>
      </c>
      <c r="J117">
        <f>amazon_store_sales_2022__1[[#This Row],[UnitPrice]]*amazon_store_sales_2022__1[[#This Row],[Quantity]]</f>
        <v>1402.44</v>
      </c>
      <c r="K117">
        <f>amazon_store_sales_2022__1[[#This Row],[Total ]]*amazon_store_sales_2022__1[[#This Row],[Discount]]</f>
        <v>266.46359999999999</v>
      </c>
      <c r="L117" s="13">
        <f>amazon_store_sales_2022__1[[#This Row],[Total ]]-amazon_store_sales_2022__1[[#This Row],[Total Discount]]</f>
        <v>1135.9764</v>
      </c>
      <c r="M117">
        <f>YEAR(amazon_store_sales_2022__1[[#This Row],[OrderDate]])</f>
        <v>2022</v>
      </c>
      <c r="N117" t="str" cm="1">
        <f t="array" ref="N117">_xlfn.IFS(L117&lt;500," VeryLow",L117&lt;1000,"Low",L117&lt;2000,"Medium",L117&lt;3000,"High",L117&lt;5000,"VeryHigh")</f>
        <v>Medium</v>
      </c>
      <c r="O117" t="str" cm="1">
        <f t="array" ref="O117">_xlfn.IFS(G117&lt;0.09,"Low",G117&lt;0.2,"Medium",G117&lt;0.4,"High")</f>
        <v>Medium</v>
      </c>
    </row>
    <row r="118" spans="1:15" x14ac:dyDescent="0.3">
      <c r="A118">
        <v>10117</v>
      </c>
      <c r="B118" s="1">
        <v>44678</v>
      </c>
      <c r="C118">
        <v>2011</v>
      </c>
      <c r="D118" t="s">
        <v>9</v>
      </c>
      <c r="E118">
        <v>7</v>
      </c>
      <c r="F118">
        <v>5.61</v>
      </c>
      <c r="G118">
        <v>0.1</v>
      </c>
      <c r="H118" t="s">
        <v>15</v>
      </c>
      <c r="I118" t="s">
        <v>11</v>
      </c>
      <c r="J118">
        <f>amazon_store_sales_2022__1[[#This Row],[UnitPrice]]*amazon_store_sales_2022__1[[#This Row],[Quantity]]</f>
        <v>39.270000000000003</v>
      </c>
      <c r="K118">
        <f>amazon_store_sales_2022__1[[#This Row],[Total ]]*amazon_store_sales_2022__1[[#This Row],[Discount]]</f>
        <v>3.9270000000000005</v>
      </c>
      <c r="L118" s="13">
        <f>amazon_store_sales_2022__1[[#This Row],[Total ]]-amazon_store_sales_2022__1[[#This Row],[Total Discount]]</f>
        <v>35.343000000000004</v>
      </c>
      <c r="M118">
        <f>YEAR(amazon_store_sales_2022__1[[#This Row],[OrderDate]])</f>
        <v>2022</v>
      </c>
      <c r="N118" t="str" cm="1">
        <f t="array" ref="N118">_xlfn.IFS(L118&lt;500," VeryLow",L118&lt;1000,"Low",L118&lt;2000,"Medium",L118&lt;3000,"High",L118&lt;5000,"VeryHigh")</f>
        <v xml:space="preserve"> VeryLow</v>
      </c>
      <c r="O118" t="str" cm="1">
        <f t="array" ref="O118">_xlfn.IFS(G118&lt;0.09,"Low",G118&lt;0.2,"Medium",G118&lt;0.4,"High")</f>
        <v>Medium</v>
      </c>
    </row>
    <row r="119" spans="1:15" x14ac:dyDescent="0.3">
      <c r="A119">
        <v>10118</v>
      </c>
      <c r="B119" s="1">
        <v>44679</v>
      </c>
      <c r="C119">
        <v>2081</v>
      </c>
      <c r="D119" t="s">
        <v>14</v>
      </c>
      <c r="E119">
        <v>9</v>
      </c>
      <c r="F119">
        <v>301.17</v>
      </c>
      <c r="G119">
        <v>0.25</v>
      </c>
      <c r="H119" t="s">
        <v>17</v>
      </c>
      <c r="I119" t="s">
        <v>18</v>
      </c>
      <c r="J119">
        <f>amazon_store_sales_2022__1[[#This Row],[UnitPrice]]*amazon_store_sales_2022__1[[#This Row],[Quantity]]</f>
        <v>2710.53</v>
      </c>
      <c r="K119">
        <f>amazon_store_sales_2022__1[[#This Row],[Total ]]*amazon_store_sales_2022__1[[#This Row],[Discount]]</f>
        <v>677.63250000000005</v>
      </c>
      <c r="L119" s="13">
        <f>amazon_store_sales_2022__1[[#This Row],[Total ]]-amazon_store_sales_2022__1[[#This Row],[Total Discount]]</f>
        <v>2032.8975</v>
      </c>
      <c r="M119">
        <f>YEAR(amazon_store_sales_2022__1[[#This Row],[OrderDate]])</f>
        <v>2022</v>
      </c>
      <c r="N119" t="str" cm="1">
        <f t="array" ref="N119">_xlfn.IFS(L119&lt;500," VeryLow",L119&lt;1000,"Low",L119&lt;2000,"Medium",L119&lt;3000,"High",L119&lt;5000,"VeryHigh")</f>
        <v>High</v>
      </c>
      <c r="O119" t="str" cm="1">
        <f t="array" ref="O119">_xlfn.IFS(G119&lt;0.09,"Low",G119&lt;0.2,"Medium",G119&lt;0.4,"High")</f>
        <v>High</v>
      </c>
    </row>
    <row r="120" spans="1:15" x14ac:dyDescent="0.3">
      <c r="A120">
        <v>10119</v>
      </c>
      <c r="B120" s="1">
        <v>44680</v>
      </c>
      <c r="C120">
        <v>2008</v>
      </c>
      <c r="D120" t="s">
        <v>12</v>
      </c>
      <c r="E120">
        <v>1</v>
      </c>
      <c r="F120">
        <v>305.62</v>
      </c>
      <c r="G120">
        <v>0.19</v>
      </c>
      <c r="H120" t="s">
        <v>10</v>
      </c>
      <c r="I120" t="s">
        <v>18</v>
      </c>
      <c r="J120">
        <f>amazon_store_sales_2022__1[[#This Row],[UnitPrice]]*amazon_store_sales_2022__1[[#This Row],[Quantity]]</f>
        <v>305.62</v>
      </c>
      <c r="K120">
        <f>amazon_store_sales_2022__1[[#This Row],[Total ]]*amazon_store_sales_2022__1[[#This Row],[Discount]]</f>
        <v>58.067799999999998</v>
      </c>
      <c r="L120" s="13">
        <f>amazon_store_sales_2022__1[[#This Row],[Total ]]-amazon_store_sales_2022__1[[#This Row],[Total Discount]]</f>
        <v>247.5522</v>
      </c>
      <c r="M120">
        <f>YEAR(amazon_store_sales_2022__1[[#This Row],[OrderDate]])</f>
        <v>2022</v>
      </c>
      <c r="N120" t="str" cm="1">
        <f t="array" ref="N120">_xlfn.IFS(L120&lt;500," VeryLow",L120&lt;1000,"Low",L120&lt;2000,"Medium",L120&lt;3000,"High",L120&lt;5000,"VeryHigh")</f>
        <v xml:space="preserve"> VeryLow</v>
      </c>
      <c r="O120" t="str" cm="1">
        <f t="array" ref="O120">_xlfn.IFS(G120&lt;0.09,"Low",G120&lt;0.2,"Medium",G120&lt;0.4,"High")</f>
        <v>Medium</v>
      </c>
    </row>
    <row r="121" spans="1:15" x14ac:dyDescent="0.3">
      <c r="A121">
        <v>10120</v>
      </c>
      <c r="B121" s="1">
        <v>44681</v>
      </c>
      <c r="C121">
        <v>2035</v>
      </c>
      <c r="D121" t="s">
        <v>16</v>
      </c>
      <c r="E121">
        <v>6</v>
      </c>
      <c r="F121">
        <v>127.53</v>
      </c>
      <c r="G121">
        <v>0.06</v>
      </c>
      <c r="H121" t="s">
        <v>13</v>
      </c>
      <c r="I121" t="s">
        <v>18</v>
      </c>
      <c r="J121">
        <f>amazon_store_sales_2022__1[[#This Row],[UnitPrice]]*amazon_store_sales_2022__1[[#This Row],[Quantity]]</f>
        <v>765.18000000000006</v>
      </c>
      <c r="K121">
        <f>amazon_store_sales_2022__1[[#This Row],[Total ]]*amazon_store_sales_2022__1[[#This Row],[Discount]]</f>
        <v>45.910800000000002</v>
      </c>
      <c r="L121" s="13">
        <f>amazon_store_sales_2022__1[[#This Row],[Total ]]-amazon_store_sales_2022__1[[#This Row],[Total Discount]]</f>
        <v>719.26920000000007</v>
      </c>
      <c r="M121">
        <f>YEAR(amazon_store_sales_2022__1[[#This Row],[OrderDate]])</f>
        <v>2022</v>
      </c>
      <c r="N121" t="str" cm="1">
        <f t="array" ref="N121">_xlfn.IFS(L121&lt;500," VeryLow",L121&lt;1000,"Low",L121&lt;2000,"Medium",L121&lt;3000,"High",L121&lt;5000,"VeryHigh")</f>
        <v>Low</v>
      </c>
      <c r="O121" t="str" cm="1">
        <f t="array" ref="O121">_xlfn.IFS(G121&lt;0.09,"Low",G121&lt;0.2,"Medium",G121&lt;0.4,"High")</f>
        <v>Low</v>
      </c>
    </row>
    <row r="122" spans="1:15" x14ac:dyDescent="0.3">
      <c r="A122">
        <v>10121</v>
      </c>
      <c r="B122" s="1">
        <v>44682</v>
      </c>
      <c r="C122">
        <v>2035</v>
      </c>
      <c r="D122" t="s">
        <v>16</v>
      </c>
      <c r="E122">
        <v>7</v>
      </c>
      <c r="F122">
        <v>281.41000000000003</v>
      </c>
      <c r="G122">
        <v>0.02</v>
      </c>
      <c r="H122" t="s">
        <v>10</v>
      </c>
      <c r="I122" t="s">
        <v>11</v>
      </c>
      <c r="J122">
        <f>amazon_store_sales_2022__1[[#This Row],[UnitPrice]]*amazon_store_sales_2022__1[[#This Row],[Quantity]]</f>
        <v>1969.8700000000001</v>
      </c>
      <c r="K122">
        <f>amazon_store_sales_2022__1[[#This Row],[Total ]]*amazon_store_sales_2022__1[[#This Row],[Discount]]</f>
        <v>39.397400000000005</v>
      </c>
      <c r="L122" s="13">
        <f>amazon_store_sales_2022__1[[#This Row],[Total ]]-amazon_store_sales_2022__1[[#This Row],[Total Discount]]</f>
        <v>1930.4726000000001</v>
      </c>
      <c r="M122">
        <f>YEAR(amazon_store_sales_2022__1[[#This Row],[OrderDate]])</f>
        <v>2022</v>
      </c>
      <c r="N122" t="str" cm="1">
        <f t="array" ref="N122">_xlfn.IFS(L122&lt;500," VeryLow",L122&lt;1000,"Low",L122&lt;2000,"Medium",L122&lt;3000,"High",L122&lt;5000,"VeryHigh")</f>
        <v>Medium</v>
      </c>
      <c r="O122" t="str" cm="1">
        <f t="array" ref="O122">_xlfn.IFS(G122&lt;0.09,"Low",G122&lt;0.2,"Medium",G122&lt;0.4,"High")</f>
        <v>Low</v>
      </c>
    </row>
    <row r="123" spans="1:15" x14ac:dyDescent="0.3">
      <c r="A123">
        <v>10122</v>
      </c>
      <c r="B123" s="1">
        <v>44683</v>
      </c>
      <c r="C123">
        <v>2033</v>
      </c>
      <c r="D123" t="s">
        <v>14</v>
      </c>
      <c r="E123">
        <v>3</v>
      </c>
      <c r="F123">
        <v>116.64</v>
      </c>
      <c r="G123">
        <v>0.01</v>
      </c>
      <c r="H123" t="s">
        <v>20</v>
      </c>
      <c r="I123" t="s">
        <v>18</v>
      </c>
      <c r="J123">
        <f>amazon_store_sales_2022__1[[#This Row],[UnitPrice]]*amazon_store_sales_2022__1[[#This Row],[Quantity]]</f>
        <v>349.92</v>
      </c>
      <c r="K123">
        <f>amazon_store_sales_2022__1[[#This Row],[Total ]]*amazon_store_sales_2022__1[[#This Row],[Discount]]</f>
        <v>3.4992000000000001</v>
      </c>
      <c r="L123" s="13">
        <f>amazon_store_sales_2022__1[[#This Row],[Total ]]-amazon_store_sales_2022__1[[#This Row],[Total Discount]]</f>
        <v>346.42080000000004</v>
      </c>
      <c r="M123">
        <f>YEAR(amazon_store_sales_2022__1[[#This Row],[OrderDate]])</f>
        <v>2022</v>
      </c>
      <c r="N123" t="str" cm="1">
        <f t="array" ref="N123">_xlfn.IFS(L123&lt;500," VeryLow",L123&lt;1000,"Low",L123&lt;2000,"Medium",L123&lt;3000,"High",L123&lt;5000,"VeryHigh")</f>
        <v xml:space="preserve"> VeryLow</v>
      </c>
      <c r="O123" t="str" cm="1">
        <f t="array" ref="O123">_xlfn.IFS(G123&lt;0.09,"Low",G123&lt;0.2,"Medium",G123&lt;0.4,"High")</f>
        <v>Low</v>
      </c>
    </row>
    <row r="124" spans="1:15" x14ac:dyDescent="0.3">
      <c r="A124">
        <v>10123</v>
      </c>
      <c r="B124" s="1">
        <v>44684</v>
      </c>
      <c r="C124">
        <v>2005</v>
      </c>
      <c r="D124" t="s">
        <v>9</v>
      </c>
      <c r="E124">
        <v>8</v>
      </c>
      <c r="F124">
        <v>84.61</v>
      </c>
      <c r="G124">
        <v>0.11</v>
      </c>
      <c r="H124" t="s">
        <v>20</v>
      </c>
      <c r="I124" t="s">
        <v>11</v>
      </c>
      <c r="J124">
        <f>amazon_store_sales_2022__1[[#This Row],[UnitPrice]]*amazon_store_sales_2022__1[[#This Row],[Quantity]]</f>
        <v>676.88</v>
      </c>
      <c r="K124">
        <f>amazon_store_sales_2022__1[[#This Row],[Total ]]*amazon_store_sales_2022__1[[#This Row],[Discount]]</f>
        <v>74.456800000000001</v>
      </c>
      <c r="L124" s="13">
        <f>amazon_store_sales_2022__1[[#This Row],[Total ]]-amazon_store_sales_2022__1[[#This Row],[Total Discount]]</f>
        <v>602.42319999999995</v>
      </c>
      <c r="M124">
        <f>YEAR(amazon_store_sales_2022__1[[#This Row],[OrderDate]])</f>
        <v>2022</v>
      </c>
      <c r="N124" t="str" cm="1">
        <f t="array" ref="N124">_xlfn.IFS(L124&lt;500," VeryLow",L124&lt;1000,"Low",L124&lt;2000,"Medium",L124&lt;3000,"High",L124&lt;5000,"VeryHigh")</f>
        <v>Low</v>
      </c>
      <c r="O124" t="str" cm="1">
        <f t="array" ref="O124">_xlfn.IFS(G124&lt;0.09,"Low",G124&lt;0.2,"Medium",G124&lt;0.4,"High")</f>
        <v>Medium</v>
      </c>
    </row>
    <row r="125" spans="1:15" x14ac:dyDescent="0.3">
      <c r="A125">
        <v>10124</v>
      </c>
      <c r="B125" s="1">
        <v>44685</v>
      </c>
      <c r="C125">
        <v>2041</v>
      </c>
      <c r="D125" t="s">
        <v>19</v>
      </c>
      <c r="E125">
        <v>5</v>
      </c>
      <c r="F125">
        <v>327.5</v>
      </c>
      <c r="G125">
        <v>0.08</v>
      </c>
      <c r="H125" t="s">
        <v>15</v>
      </c>
      <c r="I125" t="s">
        <v>18</v>
      </c>
      <c r="J125">
        <f>amazon_store_sales_2022__1[[#This Row],[UnitPrice]]*amazon_store_sales_2022__1[[#This Row],[Quantity]]</f>
        <v>1637.5</v>
      </c>
      <c r="K125">
        <f>amazon_store_sales_2022__1[[#This Row],[Total ]]*amazon_store_sales_2022__1[[#This Row],[Discount]]</f>
        <v>131</v>
      </c>
      <c r="L125" s="13">
        <f>amazon_store_sales_2022__1[[#This Row],[Total ]]-amazon_store_sales_2022__1[[#This Row],[Total Discount]]</f>
        <v>1506.5</v>
      </c>
      <c r="M125">
        <f>YEAR(amazon_store_sales_2022__1[[#This Row],[OrderDate]])</f>
        <v>2022</v>
      </c>
      <c r="N125" t="str" cm="1">
        <f t="array" ref="N125">_xlfn.IFS(L125&lt;500," VeryLow",L125&lt;1000,"Low",L125&lt;2000,"Medium",L125&lt;3000,"High",L125&lt;5000,"VeryHigh")</f>
        <v>Medium</v>
      </c>
      <c r="O125" t="str" cm="1">
        <f t="array" ref="O125">_xlfn.IFS(G125&lt;0.09,"Low",G125&lt;0.2,"Medium",G125&lt;0.4,"High")</f>
        <v>Low</v>
      </c>
    </row>
    <row r="126" spans="1:15" x14ac:dyDescent="0.3">
      <c r="A126">
        <v>10125</v>
      </c>
      <c r="B126" s="1">
        <v>44686</v>
      </c>
      <c r="C126">
        <v>2028</v>
      </c>
      <c r="D126" t="s">
        <v>9</v>
      </c>
      <c r="E126">
        <v>9</v>
      </c>
      <c r="F126">
        <v>166.33</v>
      </c>
      <c r="G126">
        <v>0.19</v>
      </c>
      <c r="H126" t="s">
        <v>10</v>
      </c>
      <c r="I126" t="s">
        <v>18</v>
      </c>
      <c r="J126">
        <f>amazon_store_sales_2022__1[[#This Row],[UnitPrice]]*amazon_store_sales_2022__1[[#This Row],[Quantity]]</f>
        <v>1496.97</v>
      </c>
      <c r="K126">
        <f>amazon_store_sales_2022__1[[#This Row],[Total ]]*amazon_store_sales_2022__1[[#This Row],[Discount]]</f>
        <v>284.42430000000002</v>
      </c>
      <c r="L126" s="13">
        <f>amazon_store_sales_2022__1[[#This Row],[Total ]]-amazon_store_sales_2022__1[[#This Row],[Total Discount]]</f>
        <v>1212.5457000000001</v>
      </c>
      <c r="M126">
        <f>YEAR(amazon_store_sales_2022__1[[#This Row],[OrderDate]])</f>
        <v>2022</v>
      </c>
      <c r="N126" t="str" cm="1">
        <f t="array" ref="N126">_xlfn.IFS(L126&lt;500," VeryLow",L126&lt;1000,"Low",L126&lt;2000,"Medium",L126&lt;3000,"High",L126&lt;5000,"VeryHigh")</f>
        <v>Medium</v>
      </c>
      <c r="O126" t="str" cm="1">
        <f t="array" ref="O126">_xlfn.IFS(G126&lt;0.09,"Low",G126&lt;0.2,"Medium",G126&lt;0.4,"High")</f>
        <v>Medium</v>
      </c>
    </row>
    <row r="127" spans="1:15" x14ac:dyDescent="0.3">
      <c r="A127">
        <v>10126</v>
      </c>
      <c r="B127" s="1">
        <v>44687</v>
      </c>
      <c r="C127">
        <v>2007</v>
      </c>
      <c r="D127" t="s">
        <v>14</v>
      </c>
      <c r="E127">
        <v>5</v>
      </c>
      <c r="F127">
        <v>297.18</v>
      </c>
      <c r="G127">
        <v>0.15</v>
      </c>
      <c r="H127" t="s">
        <v>15</v>
      </c>
      <c r="I127" t="s">
        <v>11</v>
      </c>
      <c r="J127">
        <f>amazon_store_sales_2022__1[[#This Row],[UnitPrice]]*amazon_store_sales_2022__1[[#This Row],[Quantity]]</f>
        <v>1485.9</v>
      </c>
      <c r="K127">
        <f>amazon_store_sales_2022__1[[#This Row],[Total ]]*amazon_store_sales_2022__1[[#This Row],[Discount]]</f>
        <v>222.88500000000002</v>
      </c>
      <c r="L127" s="13">
        <f>amazon_store_sales_2022__1[[#This Row],[Total ]]-amazon_store_sales_2022__1[[#This Row],[Total Discount]]</f>
        <v>1263.0150000000001</v>
      </c>
      <c r="M127">
        <f>YEAR(amazon_store_sales_2022__1[[#This Row],[OrderDate]])</f>
        <v>2022</v>
      </c>
      <c r="N127" t="str" cm="1">
        <f t="array" ref="N127">_xlfn.IFS(L127&lt;500," VeryLow",L127&lt;1000,"Low",L127&lt;2000,"Medium",L127&lt;3000,"High",L127&lt;5000,"VeryHigh")</f>
        <v>Medium</v>
      </c>
      <c r="O127" t="str" cm="1">
        <f t="array" ref="O127">_xlfn.IFS(G127&lt;0.09,"Low",G127&lt;0.2,"Medium",G127&lt;0.4,"High")</f>
        <v>Medium</v>
      </c>
    </row>
    <row r="128" spans="1:15" x14ac:dyDescent="0.3">
      <c r="A128">
        <v>10127</v>
      </c>
      <c r="B128" s="1">
        <v>44688</v>
      </c>
      <c r="C128">
        <v>2073</v>
      </c>
      <c r="D128" t="s">
        <v>16</v>
      </c>
      <c r="E128">
        <v>9</v>
      </c>
      <c r="F128">
        <v>219.46</v>
      </c>
      <c r="G128">
        <v>0.08</v>
      </c>
      <c r="H128" t="s">
        <v>15</v>
      </c>
      <c r="I128" t="s">
        <v>11</v>
      </c>
      <c r="J128">
        <f>amazon_store_sales_2022__1[[#This Row],[UnitPrice]]*amazon_store_sales_2022__1[[#This Row],[Quantity]]</f>
        <v>1975.14</v>
      </c>
      <c r="K128">
        <f>amazon_store_sales_2022__1[[#This Row],[Total ]]*amazon_store_sales_2022__1[[#This Row],[Discount]]</f>
        <v>158.0112</v>
      </c>
      <c r="L128" s="13">
        <f>amazon_store_sales_2022__1[[#This Row],[Total ]]-amazon_store_sales_2022__1[[#This Row],[Total Discount]]</f>
        <v>1817.1288000000002</v>
      </c>
      <c r="M128">
        <f>YEAR(amazon_store_sales_2022__1[[#This Row],[OrderDate]])</f>
        <v>2022</v>
      </c>
      <c r="N128" t="str" cm="1">
        <f t="array" ref="N128">_xlfn.IFS(L128&lt;500," VeryLow",L128&lt;1000,"Low",L128&lt;2000,"Medium",L128&lt;3000,"High",L128&lt;5000,"VeryHigh")</f>
        <v>Medium</v>
      </c>
      <c r="O128" t="str" cm="1">
        <f t="array" ref="O128">_xlfn.IFS(G128&lt;0.09,"Low",G128&lt;0.2,"Medium",G128&lt;0.4,"High")</f>
        <v>Low</v>
      </c>
    </row>
    <row r="129" spans="1:15" x14ac:dyDescent="0.3">
      <c r="A129">
        <v>10128</v>
      </c>
      <c r="B129" s="1">
        <v>44689</v>
      </c>
      <c r="C129">
        <v>2072</v>
      </c>
      <c r="D129" t="s">
        <v>9</v>
      </c>
      <c r="E129">
        <v>4</v>
      </c>
      <c r="F129">
        <v>492.25</v>
      </c>
      <c r="G129">
        <v>0.04</v>
      </c>
      <c r="H129" t="s">
        <v>20</v>
      </c>
      <c r="I129" t="s">
        <v>11</v>
      </c>
      <c r="J129">
        <f>amazon_store_sales_2022__1[[#This Row],[UnitPrice]]*amazon_store_sales_2022__1[[#This Row],[Quantity]]</f>
        <v>1969</v>
      </c>
      <c r="K129">
        <f>amazon_store_sales_2022__1[[#This Row],[Total ]]*amazon_store_sales_2022__1[[#This Row],[Discount]]</f>
        <v>78.760000000000005</v>
      </c>
      <c r="L129" s="13">
        <f>amazon_store_sales_2022__1[[#This Row],[Total ]]-amazon_store_sales_2022__1[[#This Row],[Total Discount]]</f>
        <v>1890.24</v>
      </c>
      <c r="M129">
        <f>YEAR(amazon_store_sales_2022__1[[#This Row],[OrderDate]])</f>
        <v>2022</v>
      </c>
      <c r="N129" t="str" cm="1">
        <f t="array" ref="N129">_xlfn.IFS(L129&lt;500," VeryLow",L129&lt;1000,"Low",L129&lt;2000,"Medium",L129&lt;3000,"High",L129&lt;5000,"VeryHigh")</f>
        <v>Medium</v>
      </c>
      <c r="O129" t="str" cm="1">
        <f t="array" ref="O129">_xlfn.IFS(G129&lt;0.09,"Low",G129&lt;0.2,"Medium",G129&lt;0.4,"High")</f>
        <v>Low</v>
      </c>
    </row>
    <row r="130" spans="1:15" x14ac:dyDescent="0.3">
      <c r="A130">
        <v>10129</v>
      </c>
      <c r="B130" s="1">
        <v>44690</v>
      </c>
      <c r="C130">
        <v>2012</v>
      </c>
      <c r="D130" t="s">
        <v>16</v>
      </c>
      <c r="E130">
        <v>9</v>
      </c>
      <c r="F130">
        <v>79.040000000000006</v>
      </c>
      <c r="G130">
        <v>0.04</v>
      </c>
      <c r="H130" t="s">
        <v>15</v>
      </c>
      <c r="I130" t="s">
        <v>11</v>
      </c>
      <c r="J130">
        <f>amazon_store_sales_2022__1[[#This Row],[UnitPrice]]*amazon_store_sales_2022__1[[#This Row],[Quantity]]</f>
        <v>711.36</v>
      </c>
      <c r="K130">
        <f>amazon_store_sales_2022__1[[#This Row],[Total ]]*amazon_store_sales_2022__1[[#This Row],[Discount]]</f>
        <v>28.4544</v>
      </c>
      <c r="L130" s="13">
        <f>amazon_store_sales_2022__1[[#This Row],[Total ]]-amazon_store_sales_2022__1[[#This Row],[Total Discount]]</f>
        <v>682.90560000000005</v>
      </c>
      <c r="M130">
        <f>YEAR(amazon_store_sales_2022__1[[#This Row],[OrderDate]])</f>
        <v>2022</v>
      </c>
      <c r="N130" t="str" cm="1">
        <f t="array" ref="N130">_xlfn.IFS(L130&lt;500," VeryLow",L130&lt;1000,"Low",L130&lt;2000,"Medium",L130&lt;3000,"High",L130&lt;5000,"VeryHigh")</f>
        <v>Low</v>
      </c>
      <c r="O130" t="str" cm="1">
        <f t="array" ref="O130">_xlfn.IFS(G130&lt;0.09,"Low",G130&lt;0.2,"Medium",G130&lt;0.4,"High")</f>
        <v>Low</v>
      </c>
    </row>
    <row r="131" spans="1:15" x14ac:dyDescent="0.3">
      <c r="A131">
        <v>10130</v>
      </c>
      <c r="B131" s="1">
        <v>44691</v>
      </c>
      <c r="C131">
        <v>2034</v>
      </c>
      <c r="D131" t="s">
        <v>19</v>
      </c>
      <c r="E131">
        <v>5</v>
      </c>
      <c r="F131">
        <v>234.98</v>
      </c>
      <c r="G131">
        <v>0.26</v>
      </c>
      <c r="H131" t="s">
        <v>20</v>
      </c>
      <c r="I131" t="s">
        <v>11</v>
      </c>
      <c r="J131">
        <f>amazon_store_sales_2022__1[[#This Row],[UnitPrice]]*amazon_store_sales_2022__1[[#This Row],[Quantity]]</f>
        <v>1174.8999999999999</v>
      </c>
      <c r="K131">
        <f>amazon_store_sales_2022__1[[#This Row],[Total ]]*amazon_store_sales_2022__1[[#This Row],[Discount]]</f>
        <v>305.47399999999999</v>
      </c>
      <c r="L131" s="13">
        <f>amazon_store_sales_2022__1[[#This Row],[Total ]]-amazon_store_sales_2022__1[[#This Row],[Total Discount]]</f>
        <v>869.42599999999993</v>
      </c>
      <c r="M131">
        <f>YEAR(amazon_store_sales_2022__1[[#This Row],[OrderDate]])</f>
        <v>2022</v>
      </c>
      <c r="N131" t="str" cm="1">
        <f t="array" ref="N131">_xlfn.IFS(L131&lt;500," VeryLow",L131&lt;1000,"Low",L131&lt;2000,"Medium",L131&lt;3000,"High",L131&lt;5000,"VeryHigh")</f>
        <v>Low</v>
      </c>
      <c r="O131" t="str" cm="1">
        <f t="array" ref="O131">_xlfn.IFS(G131&lt;0.09,"Low",G131&lt;0.2,"Medium",G131&lt;0.4,"High")</f>
        <v>High</v>
      </c>
    </row>
    <row r="132" spans="1:15" x14ac:dyDescent="0.3">
      <c r="A132">
        <v>10131</v>
      </c>
      <c r="B132" s="1">
        <v>44692</v>
      </c>
      <c r="C132">
        <v>2033</v>
      </c>
      <c r="D132" t="s">
        <v>16</v>
      </c>
      <c r="E132">
        <v>9</v>
      </c>
      <c r="F132">
        <v>341.83</v>
      </c>
      <c r="G132">
        <v>7.0000000000000007E-2</v>
      </c>
      <c r="H132" t="s">
        <v>13</v>
      </c>
      <c r="I132" t="s">
        <v>18</v>
      </c>
      <c r="J132">
        <f>amazon_store_sales_2022__1[[#This Row],[UnitPrice]]*amazon_store_sales_2022__1[[#This Row],[Quantity]]</f>
        <v>3076.47</v>
      </c>
      <c r="K132">
        <f>amazon_store_sales_2022__1[[#This Row],[Total ]]*amazon_store_sales_2022__1[[#This Row],[Discount]]</f>
        <v>215.35290000000001</v>
      </c>
      <c r="L132" s="13">
        <f>amazon_store_sales_2022__1[[#This Row],[Total ]]-amazon_store_sales_2022__1[[#This Row],[Total Discount]]</f>
        <v>2861.1170999999999</v>
      </c>
      <c r="M132">
        <f>YEAR(amazon_store_sales_2022__1[[#This Row],[OrderDate]])</f>
        <v>2022</v>
      </c>
      <c r="N132" t="str" cm="1">
        <f t="array" ref="N132">_xlfn.IFS(L132&lt;500," VeryLow",L132&lt;1000,"Low",L132&lt;2000,"Medium",L132&lt;3000,"High",L132&lt;5000,"VeryHigh")</f>
        <v>High</v>
      </c>
      <c r="O132" t="str" cm="1">
        <f t="array" ref="O132">_xlfn.IFS(G132&lt;0.09,"Low",G132&lt;0.2,"Medium",G132&lt;0.4,"High")</f>
        <v>Low</v>
      </c>
    </row>
    <row r="133" spans="1:15" x14ac:dyDescent="0.3">
      <c r="A133">
        <v>10132</v>
      </c>
      <c r="B133" s="1">
        <v>44693</v>
      </c>
      <c r="C133">
        <v>2048</v>
      </c>
      <c r="D133" t="s">
        <v>16</v>
      </c>
      <c r="E133">
        <v>3</v>
      </c>
      <c r="F133">
        <v>200.79</v>
      </c>
      <c r="G133">
        <v>0.2</v>
      </c>
      <c r="H133" t="s">
        <v>10</v>
      </c>
      <c r="I133" t="s">
        <v>18</v>
      </c>
      <c r="J133">
        <f>amazon_store_sales_2022__1[[#This Row],[UnitPrice]]*amazon_store_sales_2022__1[[#This Row],[Quantity]]</f>
        <v>602.37</v>
      </c>
      <c r="K133">
        <f>amazon_store_sales_2022__1[[#This Row],[Total ]]*amazon_store_sales_2022__1[[#This Row],[Discount]]</f>
        <v>120.474</v>
      </c>
      <c r="L133" s="13">
        <f>amazon_store_sales_2022__1[[#This Row],[Total ]]-amazon_store_sales_2022__1[[#This Row],[Total Discount]]</f>
        <v>481.89600000000002</v>
      </c>
      <c r="M133">
        <f>YEAR(amazon_store_sales_2022__1[[#This Row],[OrderDate]])</f>
        <v>2022</v>
      </c>
      <c r="N133" t="str" cm="1">
        <f t="array" ref="N133">_xlfn.IFS(L133&lt;500," VeryLow",L133&lt;1000,"Low",L133&lt;2000,"Medium",L133&lt;3000,"High",L133&lt;5000,"VeryHigh")</f>
        <v xml:space="preserve"> VeryLow</v>
      </c>
      <c r="O133" t="str" cm="1">
        <f t="array" ref="O133">_xlfn.IFS(G133&lt;0.09,"Low",G133&lt;0.2,"Medium",G133&lt;0.4,"High")</f>
        <v>High</v>
      </c>
    </row>
    <row r="134" spans="1:15" x14ac:dyDescent="0.3">
      <c r="A134">
        <v>10133</v>
      </c>
      <c r="B134" s="1">
        <v>44694</v>
      </c>
      <c r="C134">
        <v>2023</v>
      </c>
      <c r="D134" t="s">
        <v>12</v>
      </c>
      <c r="E134">
        <v>4</v>
      </c>
      <c r="F134">
        <v>487.48</v>
      </c>
      <c r="G134">
        <v>0.24</v>
      </c>
      <c r="H134" t="s">
        <v>15</v>
      </c>
      <c r="I134" t="s">
        <v>11</v>
      </c>
      <c r="J134">
        <f>amazon_store_sales_2022__1[[#This Row],[UnitPrice]]*amazon_store_sales_2022__1[[#This Row],[Quantity]]</f>
        <v>1949.92</v>
      </c>
      <c r="K134">
        <f>amazon_store_sales_2022__1[[#This Row],[Total ]]*amazon_store_sales_2022__1[[#This Row],[Discount]]</f>
        <v>467.98079999999999</v>
      </c>
      <c r="L134" s="13">
        <f>amazon_store_sales_2022__1[[#This Row],[Total ]]-amazon_store_sales_2022__1[[#This Row],[Total Discount]]</f>
        <v>1481.9392</v>
      </c>
      <c r="M134">
        <f>YEAR(amazon_store_sales_2022__1[[#This Row],[OrderDate]])</f>
        <v>2022</v>
      </c>
      <c r="N134" t="str" cm="1">
        <f t="array" ref="N134">_xlfn.IFS(L134&lt;500," VeryLow",L134&lt;1000,"Low",L134&lt;2000,"Medium",L134&lt;3000,"High",L134&lt;5000,"VeryHigh")</f>
        <v>Medium</v>
      </c>
      <c r="O134" t="str" cm="1">
        <f t="array" ref="O134">_xlfn.IFS(G134&lt;0.09,"Low",G134&lt;0.2,"Medium",G134&lt;0.4,"High")</f>
        <v>High</v>
      </c>
    </row>
    <row r="135" spans="1:15" x14ac:dyDescent="0.3">
      <c r="A135">
        <v>10134</v>
      </c>
      <c r="B135" s="1">
        <v>44695</v>
      </c>
      <c r="C135">
        <v>2062</v>
      </c>
      <c r="D135" t="s">
        <v>12</v>
      </c>
      <c r="E135">
        <v>9</v>
      </c>
      <c r="F135">
        <v>362.33</v>
      </c>
      <c r="G135">
        <v>0.18</v>
      </c>
      <c r="H135" t="s">
        <v>20</v>
      </c>
      <c r="I135" t="s">
        <v>18</v>
      </c>
      <c r="J135">
        <f>amazon_store_sales_2022__1[[#This Row],[UnitPrice]]*amazon_store_sales_2022__1[[#This Row],[Quantity]]</f>
        <v>3260.97</v>
      </c>
      <c r="K135">
        <f>amazon_store_sales_2022__1[[#This Row],[Total ]]*amazon_store_sales_2022__1[[#This Row],[Discount]]</f>
        <v>586.9745999999999</v>
      </c>
      <c r="L135" s="13">
        <f>amazon_store_sales_2022__1[[#This Row],[Total ]]-amazon_store_sales_2022__1[[#This Row],[Total Discount]]</f>
        <v>2673.9953999999998</v>
      </c>
      <c r="M135">
        <f>YEAR(amazon_store_sales_2022__1[[#This Row],[OrderDate]])</f>
        <v>2022</v>
      </c>
      <c r="N135" t="str" cm="1">
        <f t="array" ref="N135">_xlfn.IFS(L135&lt;500," VeryLow",L135&lt;1000,"Low",L135&lt;2000,"Medium",L135&lt;3000,"High",L135&lt;5000,"VeryHigh")</f>
        <v>High</v>
      </c>
      <c r="O135" t="str" cm="1">
        <f t="array" ref="O135">_xlfn.IFS(G135&lt;0.09,"Low",G135&lt;0.2,"Medium",G135&lt;0.4,"High")</f>
        <v>Medium</v>
      </c>
    </row>
    <row r="136" spans="1:15" x14ac:dyDescent="0.3">
      <c r="A136">
        <v>10135</v>
      </c>
      <c r="B136" s="1">
        <v>44696</v>
      </c>
      <c r="C136">
        <v>2088</v>
      </c>
      <c r="D136" t="s">
        <v>12</v>
      </c>
      <c r="E136">
        <v>6</v>
      </c>
      <c r="F136">
        <v>330.21</v>
      </c>
      <c r="G136">
        <v>0.26</v>
      </c>
      <c r="H136" t="s">
        <v>17</v>
      </c>
      <c r="I136" t="s">
        <v>18</v>
      </c>
      <c r="J136">
        <f>amazon_store_sales_2022__1[[#This Row],[UnitPrice]]*amazon_store_sales_2022__1[[#This Row],[Quantity]]</f>
        <v>1981.2599999999998</v>
      </c>
      <c r="K136">
        <f>amazon_store_sales_2022__1[[#This Row],[Total ]]*amazon_store_sales_2022__1[[#This Row],[Discount]]</f>
        <v>515.12759999999992</v>
      </c>
      <c r="L136" s="13">
        <f>amazon_store_sales_2022__1[[#This Row],[Total ]]-amazon_store_sales_2022__1[[#This Row],[Total Discount]]</f>
        <v>1466.1324</v>
      </c>
      <c r="M136">
        <f>YEAR(amazon_store_sales_2022__1[[#This Row],[OrderDate]])</f>
        <v>2022</v>
      </c>
      <c r="N136" t="str" cm="1">
        <f t="array" ref="N136">_xlfn.IFS(L136&lt;500," VeryLow",L136&lt;1000,"Low",L136&lt;2000,"Medium",L136&lt;3000,"High",L136&lt;5000,"VeryHigh")</f>
        <v>Medium</v>
      </c>
      <c r="O136" t="str" cm="1">
        <f t="array" ref="O136">_xlfn.IFS(G136&lt;0.09,"Low",G136&lt;0.2,"Medium",G136&lt;0.4,"High")</f>
        <v>High</v>
      </c>
    </row>
    <row r="137" spans="1:15" x14ac:dyDescent="0.3">
      <c r="A137">
        <v>10136</v>
      </c>
      <c r="B137" s="1">
        <v>44697</v>
      </c>
      <c r="C137">
        <v>2037</v>
      </c>
      <c r="D137" t="s">
        <v>16</v>
      </c>
      <c r="E137">
        <v>2</v>
      </c>
      <c r="F137">
        <v>379.74</v>
      </c>
      <c r="G137">
        <v>0.12</v>
      </c>
      <c r="H137" t="s">
        <v>15</v>
      </c>
      <c r="I137" t="s">
        <v>18</v>
      </c>
      <c r="J137">
        <f>amazon_store_sales_2022__1[[#This Row],[UnitPrice]]*amazon_store_sales_2022__1[[#This Row],[Quantity]]</f>
        <v>759.48</v>
      </c>
      <c r="K137">
        <f>amazon_store_sales_2022__1[[#This Row],[Total ]]*amazon_store_sales_2022__1[[#This Row],[Discount]]</f>
        <v>91.137599999999992</v>
      </c>
      <c r="L137" s="13">
        <f>amazon_store_sales_2022__1[[#This Row],[Total ]]-amazon_store_sales_2022__1[[#This Row],[Total Discount]]</f>
        <v>668.3424</v>
      </c>
      <c r="M137">
        <f>YEAR(amazon_store_sales_2022__1[[#This Row],[OrderDate]])</f>
        <v>2022</v>
      </c>
      <c r="N137" t="str" cm="1">
        <f t="array" ref="N137">_xlfn.IFS(L137&lt;500," VeryLow",L137&lt;1000,"Low",L137&lt;2000,"Medium",L137&lt;3000,"High",L137&lt;5000,"VeryHigh")</f>
        <v>Low</v>
      </c>
      <c r="O137" t="str" cm="1">
        <f t="array" ref="O137">_xlfn.IFS(G137&lt;0.09,"Low",G137&lt;0.2,"Medium",G137&lt;0.4,"High")</f>
        <v>Medium</v>
      </c>
    </row>
    <row r="138" spans="1:15" x14ac:dyDescent="0.3">
      <c r="A138">
        <v>10137</v>
      </c>
      <c r="B138" s="1">
        <v>44698</v>
      </c>
      <c r="C138">
        <v>2099</v>
      </c>
      <c r="D138" t="s">
        <v>14</v>
      </c>
      <c r="E138">
        <v>7</v>
      </c>
      <c r="F138">
        <v>476.56</v>
      </c>
      <c r="G138">
        <v>0.28999999999999998</v>
      </c>
      <c r="H138" t="s">
        <v>13</v>
      </c>
      <c r="I138" t="s">
        <v>11</v>
      </c>
      <c r="J138">
        <f>amazon_store_sales_2022__1[[#This Row],[UnitPrice]]*amazon_store_sales_2022__1[[#This Row],[Quantity]]</f>
        <v>3335.92</v>
      </c>
      <c r="K138">
        <f>amazon_store_sales_2022__1[[#This Row],[Total ]]*amazon_store_sales_2022__1[[#This Row],[Discount]]</f>
        <v>967.41679999999997</v>
      </c>
      <c r="L138" s="13">
        <f>amazon_store_sales_2022__1[[#This Row],[Total ]]-amazon_store_sales_2022__1[[#This Row],[Total Discount]]</f>
        <v>2368.5032000000001</v>
      </c>
      <c r="M138">
        <f>YEAR(amazon_store_sales_2022__1[[#This Row],[OrderDate]])</f>
        <v>2022</v>
      </c>
      <c r="N138" t="str" cm="1">
        <f t="array" ref="N138">_xlfn.IFS(L138&lt;500," VeryLow",L138&lt;1000,"Low",L138&lt;2000,"Medium",L138&lt;3000,"High",L138&lt;5000,"VeryHigh")</f>
        <v>High</v>
      </c>
      <c r="O138" t="str" cm="1">
        <f t="array" ref="O138">_xlfn.IFS(G138&lt;0.09,"Low",G138&lt;0.2,"Medium",G138&lt;0.4,"High")</f>
        <v>High</v>
      </c>
    </row>
    <row r="139" spans="1:15" x14ac:dyDescent="0.3">
      <c r="A139">
        <v>10138</v>
      </c>
      <c r="B139" s="1">
        <v>44699</v>
      </c>
      <c r="C139">
        <v>2044</v>
      </c>
      <c r="D139" t="s">
        <v>16</v>
      </c>
      <c r="E139">
        <v>2</v>
      </c>
      <c r="F139">
        <v>454.37</v>
      </c>
      <c r="G139">
        <v>0.04</v>
      </c>
      <c r="H139" t="s">
        <v>13</v>
      </c>
      <c r="I139" t="s">
        <v>18</v>
      </c>
      <c r="J139">
        <f>amazon_store_sales_2022__1[[#This Row],[UnitPrice]]*amazon_store_sales_2022__1[[#This Row],[Quantity]]</f>
        <v>908.74</v>
      </c>
      <c r="K139">
        <f>amazon_store_sales_2022__1[[#This Row],[Total ]]*amazon_store_sales_2022__1[[#This Row],[Discount]]</f>
        <v>36.349600000000002</v>
      </c>
      <c r="L139" s="13">
        <f>amazon_store_sales_2022__1[[#This Row],[Total ]]-amazon_store_sales_2022__1[[#This Row],[Total Discount]]</f>
        <v>872.3904</v>
      </c>
      <c r="M139">
        <f>YEAR(amazon_store_sales_2022__1[[#This Row],[OrderDate]])</f>
        <v>2022</v>
      </c>
      <c r="N139" t="str" cm="1">
        <f t="array" ref="N139">_xlfn.IFS(L139&lt;500," VeryLow",L139&lt;1000,"Low",L139&lt;2000,"Medium",L139&lt;3000,"High",L139&lt;5000,"VeryHigh")</f>
        <v>Low</v>
      </c>
      <c r="O139" t="str" cm="1">
        <f t="array" ref="O139">_xlfn.IFS(G139&lt;0.09,"Low",G139&lt;0.2,"Medium",G139&lt;0.4,"High")</f>
        <v>Low</v>
      </c>
    </row>
    <row r="140" spans="1:15" x14ac:dyDescent="0.3">
      <c r="A140">
        <v>10139</v>
      </c>
      <c r="B140" s="1">
        <v>44700</v>
      </c>
      <c r="C140">
        <v>2086</v>
      </c>
      <c r="D140" t="s">
        <v>14</v>
      </c>
      <c r="E140">
        <v>2</v>
      </c>
      <c r="F140">
        <v>363.52</v>
      </c>
      <c r="G140">
        <v>0.03</v>
      </c>
      <c r="H140" t="s">
        <v>17</v>
      </c>
      <c r="I140" t="s">
        <v>18</v>
      </c>
      <c r="J140">
        <f>amazon_store_sales_2022__1[[#This Row],[UnitPrice]]*amazon_store_sales_2022__1[[#This Row],[Quantity]]</f>
        <v>727.04</v>
      </c>
      <c r="K140">
        <f>amazon_store_sales_2022__1[[#This Row],[Total ]]*amazon_store_sales_2022__1[[#This Row],[Discount]]</f>
        <v>21.811199999999999</v>
      </c>
      <c r="L140" s="13">
        <f>amazon_store_sales_2022__1[[#This Row],[Total ]]-amazon_store_sales_2022__1[[#This Row],[Total Discount]]</f>
        <v>705.22879999999998</v>
      </c>
      <c r="M140">
        <f>YEAR(amazon_store_sales_2022__1[[#This Row],[OrderDate]])</f>
        <v>2022</v>
      </c>
      <c r="N140" t="str" cm="1">
        <f t="array" ref="N140">_xlfn.IFS(L140&lt;500," VeryLow",L140&lt;1000,"Low",L140&lt;2000,"Medium",L140&lt;3000,"High",L140&lt;5000,"VeryHigh")</f>
        <v>Low</v>
      </c>
      <c r="O140" t="str" cm="1">
        <f t="array" ref="O140">_xlfn.IFS(G140&lt;0.09,"Low",G140&lt;0.2,"Medium",G140&lt;0.4,"High")</f>
        <v>Low</v>
      </c>
    </row>
    <row r="141" spans="1:15" x14ac:dyDescent="0.3">
      <c r="A141">
        <v>10140</v>
      </c>
      <c r="B141" s="1">
        <v>44701</v>
      </c>
      <c r="C141">
        <v>2091</v>
      </c>
      <c r="D141" t="s">
        <v>14</v>
      </c>
      <c r="E141">
        <v>1</v>
      </c>
      <c r="F141">
        <v>375.84</v>
      </c>
      <c r="G141">
        <v>0.2</v>
      </c>
      <c r="H141" t="s">
        <v>20</v>
      </c>
      <c r="I141" t="s">
        <v>18</v>
      </c>
      <c r="J141">
        <f>amazon_store_sales_2022__1[[#This Row],[UnitPrice]]*amazon_store_sales_2022__1[[#This Row],[Quantity]]</f>
        <v>375.84</v>
      </c>
      <c r="K141">
        <f>amazon_store_sales_2022__1[[#This Row],[Total ]]*amazon_store_sales_2022__1[[#This Row],[Discount]]</f>
        <v>75.167999999999992</v>
      </c>
      <c r="L141" s="13">
        <f>amazon_store_sales_2022__1[[#This Row],[Total ]]-amazon_store_sales_2022__1[[#This Row],[Total Discount]]</f>
        <v>300.67199999999997</v>
      </c>
      <c r="M141">
        <f>YEAR(amazon_store_sales_2022__1[[#This Row],[OrderDate]])</f>
        <v>2022</v>
      </c>
      <c r="N141" t="str" cm="1">
        <f t="array" ref="N141">_xlfn.IFS(L141&lt;500," VeryLow",L141&lt;1000,"Low",L141&lt;2000,"Medium",L141&lt;3000,"High",L141&lt;5000,"VeryHigh")</f>
        <v xml:space="preserve"> VeryLow</v>
      </c>
      <c r="O141" t="str" cm="1">
        <f t="array" ref="O141">_xlfn.IFS(G141&lt;0.09,"Low",G141&lt;0.2,"Medium",G141&lt;0.4,"High")</f>
        <v>High</v>
      </c>
    </row>
    <row r="142" spans="1:15" x14ac:dyDescent="0.3">
      <c r="A142">
        <v>10141</v>
      </c>
      <c r="B142" s="1">
        <v>44702</v>
      </c>
      <c r="C142">
        <v>2035</v>
      </c>
      <c r="D142" t="s">
        <v>12</v>
      </c>
      <c r="E142">
        <v>3</v>
      </c>
      <c r="F142">
        <v>77.23</v>
      </c>
      <c r="G142">
        <v>0.28000000000000003</v>
      </c>
      <c r="H142" t="s">
        <v>15</v>
      </c>
      <c r="I142" t="s">
        <v>11</v>
      </c>
      <c r="J142">
        <f>amazon_store_sales_2022__1[[#This Row],[UnitPrice]]*amazon_store_sales_2022__1[[#This Row],[Quantity]]</f>
        <v>231.69</v>
      </c>
      <c r="K142">
        <f>amazon_store_sales_2022__1[[#This Row],[Total ]]*amazon_store_sales_2022__1[[#This Row],[Discount]]</f>
        <v>64.873200000000011</v>
      </c>
      <c r="L142" s="13">
        <f>amazon_store_sales_2022__1[[#This Row],[Total ]]-amazon_store_sales_2022__1[[#This Row],[Total Discount]]</f>
        <v>166.8168</v>
      </c>
      <c r="M142">
        <f>YEAR(amazon_store_sales_2022__1[[#This Row],[OrderDate]])</f>
        <v>2022</v>
      </c>
      <c r="N142" t="str" cm="1">
        <f t="array" ref="N142">_xlfn.IFS(L142&lt;500," VeryLow",L142&lt;1000,"Low",L142&lt;2000,"Medium",L142&lt;3000,"High",L142&lt;5000,"VeryHigh")</f>
        <v xml:space="preserve"> VeryLow</v>
      </c>
      <c r="O142" t="str" cm="1">
        <f t="array" ref="O142">_xlfn.IFS(G142&lt;0.09,"Low",G142&lt;0.2,"Medium",G142&lt;0.4,"High")</f>
        <v>High</v>
      </c>
    </row>
    <row r="143" spans="1:15" x14ac:dyDescent="0.3">
      <c r="A143">
        <v>10142</v>
      </c>
      <c r="B143" s="1">
        <v>44703</v>
      </c>
      <c r="C143">
        <v>2065</v>
      </c>
      <c r="D143" t="s">
        <v>9</v>
      </c>
      <c r="E143">
        <v>6</v>
      </c>
      <c r="F143">
        <v>55.88</v>
      </c>
      <c r="G143">
        <v>0.24</v>
      </c>
      <c r="H143" t="s">
        <v>20</v>
      </c>
      <c r="I143" t="s">
        <v>18</v>
      </c>
      <c r="J143">
        <f>amazon_store_sales_2022__1[[#This Row],[UnitPrice]]*amazon_store_sales_2022__1[[#This Row],[Quantity]]</f>
        <v>335.28000000000003</v>
      </c>
      <c r="K143">
        <f>amazon_store_sales_2022__1[[#This Row],[Total ]]*amazon_store_sales_2022__1[[#This Row],[Discount]]</f>
        <v>80.467200000000005</v>
      </c>
      <c r="L143" s="13">
        <f>amazon_store_sales_2022__1[[#This Row],[Total ]]-amazon_store_sales_2022__1[[#This Row],[Total Discount]]</f>
        <v>254.81280000000004</v>
      </c>
      <c r="M143">
        <f>YEAR(amazon_store_sales_2022__1[[#This Row],[OrderDate]])</f>
        <v>2022</v>
      </c>
      <c r="N143" t="str" cm="1">
        <f t="array" ref="N143">_xlfn.IFS(L143&lt;500," VeryLow",L143&lt;1000,"Low",L143&lt;2000,"Medium",L143&lt;3000,"High",L143&lt;5000,"VeryHigh")</f>
        <v xml:space="preserve"> VeryLow</v>
      </c>
      <c r="O143" t="str" cm="1">
        <f t="array" ref="O143">_xlfn.IFS(G143&lt;0.09,"Low",G143&lt;0.2,"Medium",G143&lt;0.4,"High")</f>
        <v>High</v>
      </c>
    </row>
    <row r="144" spans="1:15" x14ac:dyDescent="0.3">
      <c r="A144">
        <v>10143</v>
      </c>
      <c r="B144" s="1">
        <v>44704</v>
      </c>
      <c r="C144">
        <v>2099</v>
      </c>
      <c r="D144" t="s">
        <v>19</v>
      </c>
      <c r="E144">
        <v>8</v>
      </c>
      <c r="F144">
        <v>287.60000000000002</v>
      </c>
      <c r="G144">
        <v>0.02</v>
      </c>
      <c r="H144" t="s">
        <v>13</v>
      </c>
      <c r="I144" t="s">
        <v>18</v>
      </c>
      <c r="J144">
        <f>amazon_store_sales_2022__1[[#This Row],[UnitPrice]]*amazon_store_sales_2022__1[[#This Row],[Quantity]]</f>
        <v>2300.8000000000002</v>
      </c>
      <c r="K144">
        <f>amazon_store_sales_2022__1[[#This Row],[Total ]]*amazon_store_sales_2022__1[[#This Row],[Discount]]</f>
        <v>46.016000000000005</v>
      </c>
      <c r="L144" s="13">
        <f>amazon_store_sales_2022__1[[#This Row],[Total ]]-amazon_store_sales_2022__1[[#This Row],[Total Discount]]</f>
        <v>2254.7840000000001</v>
      </c>
      <c r="M144">
        <f>YEAR(amazon_store_sales_2022__1[[#This Row],[OrderDate]])</f>
        <v>2022</v>
      </c>
      <c r="N144" t="str" cm="1">
        <f t="array" ref="N144">_xlfn.IFS(L144&lt;500," VeryLow",L144&lt;1000,"Low",L144&lt;2000,"Medium",L144&lt;3000,"High",L144&lt;5000,"VeryHigh")</f>
        <v>High</v>
      </c>
      <c r="O144" t="str" cm="1">
        <f t="array" ref="O144">_xlfn.IFS(G144&lt;0.09,"Low",G144&lt;0.2,"Medium",G144&lt;0.4,"High")</f>
        <v>Low</v>
      </c>
    </row>
    <row r="145" spans="1:15" x14ac:dyDescent="0.3">
      <c r="A145">
        <v>10144</v>
      </c>
      <c r="B145" s="1">
        <v>44705</v>
      </c>
      <c r="C145">
        <v>2047</v>
      </c>
      <c r="D145" t="s">
        <v>12</v>
      </c>
      <c r="E145">
        <v>9</v>
      </c>
      <c r="F145">
        <v>14.09</v>
      </c>
      <c r="G145">
        <v>0.08</v>
      </c>
      <c r="H145" t="s">
        <v>20</v>
      </c>
      <c r="I145" t="s">
        <v>11</v>
      </c>
      <c r="J145">
        <f>amazon_store_sales_2022__1[[#This Row],[UnitPrice]]*amazon_store_sales_2022__1[[#This Row],[Quantity]]</f>
        <v>126.81</v>
      </c>
      <c r="K145">
        <f>amazon_store_sales_2022__1[[#This Row],[Total ]]*amazon_store_sales_2022__1[[#This Row],[Discount]]</f>
        <v>10.1448</v>
      </c>
      <c r="L145" s="13">
        <f>amazon_store_sales_2022__1[[#This Row],[Total ]]-amazon_store_sales_2022__1[[#This Row],[Total Discount]]</f>
        <v>116.6652</v>
      </c>
      <c r="M145">
        <f>YEAR(amazon_store_sales_2022__1[[#This Row],[OrderDate]])</f>
        <v>2022</v>
      </c>
      <c r="N145" t="str" cm="1">
        <f t="array" ref="N145">_xlfn.IFS(L145&lt;500," VeryLow",L145&lt;1000,"Low",L145&lt;2000,"Medium",L145&lt;3000,"High",L145&lt;5000,"VeryHigh")</f>
        <v xml:space="preserve"> VeryLow</v>
      </c>
      <c r="O145" t="str" cm="1">
        <f t="array" ref="O145">_xlfn.IFS(G145&lt;0.09,"Low",G145&lt;0.2,"Medium",G145&lt;0.4,"High")</f>
        <v>Low</v>
      </c>
    </row>
    <row r="146" spans="1:15" x14ac:dyDescent="0.3">
      <c r="A146">
        <v>10145</v>
      </c>
      <c r="B146" s="1">
        <v>44706</v>
      </c>
      <c r="C146">
        <v>2078</v>
      </c>
      <c r="D146" t="s">
        <v>12</v>
      </c>
      <c r="E146">
        <v>7</v>
      </c>
      <c r="F146">
        <v>243.77</v>
      </c>
      <c r="G146">
        <v>0.28000000000000003</v>
      </c>
      <c r="H146" t="s">
        <v>13</v>
      </c>
      <c r="I146" t="s">
        <v>11</v>
      </c>
      <c r="J146">
        <f>amazon_store_sales_2022__1[[#This Row],[UnitPrice]]*amazon_store_sales_2022__1[[#This Row],[Quantity]]</f>
        <v>1706.39</v>
      </c>
      <c r="K146">
        <f>amazon_store_sales_2022__1[[#This Row],[Total ]]*amazon_store_sales_2022__1[[#This Row],[Discount]]</f>
        <v>477.78920000000005</v>
      </c>
      <c r="L146" s="13">
        <f>amazon_store_sales_2022__1[[#This Row],[Total ]]-amazon_store_sales_2022__1[[#This Row],[Total Discount]]</f>
        <v>1228.6008000000002</v>
      </c>
      <c r="M146">
        <f>YEAR(amazon_store_sales_2022__1[[#This Row],[OrderDate]])</f>
        <v>2022</v>
      </c>
      <c r="N146" t="str" cm="1">
        <f t="array" ref="N146">_xlfn.IFS(L146&lt;500," VeryLow",L146&lt;1000,"Low",L146&lt;2000,"Medium",L146&lt;3000,"High",L146&lt;5000,"VeryHigh")</f>
        <v>Medium</v>
      </c>
      <c r="O146" t="str" cm="1">
        <f t="array" ref="O146">_xlfn.IFS(G146&lt;0.09,"Low",G146&lt;0.2,"Medium",G146&lt;0.4,"High")</f>
        <v>High</v>
      </c>
    </row>
    <row r="147" spans="1:15" x14ac:dyDescent="0.3">
      <c r="A147">
        <v>10146</v>
      </c>
      <c r="B147" s="1">
        <v>44707</v>
      </c>
      <c r="C147">
        <v>2003</v>
      </c>
      <c r="D147" t="s">
        <v>9</v>
      </c>
      <c r="E147">
        <v>4</v>
      </c>
      <c r="F147">
        <v>109.12</v>
      </c>
      <c r="G147">
        <v>0.08</v>
      </c>
      <c r="H147" t="s">
        <v>20</v>
      </c>
      <c r="I147" t="s">
        <v>18</v>
      </c>
      <c r="J147">
        <f>amazon_store_sales_2022__1[[#This Row],[UnitPrice]]*amazon_store_sales_2022__1[[#This Row],[Quantity]]</f>
        <v>436.48</v>
      </c>
      <c r="K147">
        <f>amazon_store_sales_2022__1[[#This Row],[Total ]]*amazon_store_sales_2022__1[[#This Row],[Discount]]</f>
        <v>34.918400000000005</v>
      </c>
      <c r="L147" s="13">
        <f>amazon_store_sales_2022__1[[#This Row],[Total ]]-amazon_store_sales_2022__1[[#This Row],[Total Discount]]</f>
        <v>401.5616</v>
      </c>
      <c r="M147">
        <f>YEAR(amazon_store_sales_2022__1[[#This Row],[OrderDate]])</f>
        <v>2022</v>
      </c>
      <c r="N147" t="str" cm="1">
        <f t="array" ref="N147">_xlfn.IFS(L147&lt;500," VeryLow",L147&lt;1000,"Low",L147&lt;2000,"Medium",L147&lt;3000,"High",L147&lt;5000,"VeryHigh")</f>
        <v xml:space="preserve"> VeryLow</v>
      </c>
      <c r="O147" t="str" cm="1">
        <f t="array" ref="O147">_xlfn.IFS(G147&lt;0.09,"Low",G147&lt;0.2,"Medium",G147&lt;0.4,"High")</f>
        <v>Low</v>
      </c>
    </row>
    <row r="148" spans="1:15" x14ac:dyDescent="0.3">
      <c r="A148">
        <v>10147</v>
      </c>
      <c r="B148" s="1">
        <v>44708</v>
      </c>
      <c r="C148">
        <v>2001</v>
      </c>
      <c r="D148" t="s">
        <v>19</v>
      </c>
      <c r="E148">
        <v>6</v>
      </c>
      <c r="F148">
        <v>176.28</v>
      </c>
      <c r="G148">
        <v>0.23</v>
      </c>
      <c r="H148" t="s">
        <v>17</v>
      </c>
      <c r="I148" t="s">
        <v>18</v>
      </c>
      <c r="J148">
        <f>amazon_store_sales_2022__1[[#This Row],[UnitPrice]]*amazon_store_sales_2022__1[[#This Row],[Quantity]]</f>
        <v>1057.68</v>
      </c>
      <c r="K148">
        <f>amazon_store_sales_2022__1[[#This Row],[Total ]]*amazon_store_sales_2022__1[[#This Row],[Discount]]</f>
        <v>243.26640000000003</v>
      </c>
      <c r="L148" s="13">
        <f>amazon_store_sales_2022__1[[#This Row],[Total ]]-amazon_store_sales_2022__1[[#This Row],[Total Discount]]</f>
        <v>814.41360000000009</v>
      </c>
      <c r="M148">
        <f>YEAR(amazon_store_sales_2022__1[[#This Row],[OrderDate]])</f>
        <v>2022</v>
      </c>
      <c r="N148" t="str" cm="1">
        <f t="array" ref="N148">_xlfn.IFS(L148&lt;500," VeryLow",L148&lt;1000,"Low",L148&lt;2000,"Medium",L148&lt;3000,"High",L148&lt;5000,"VeryHigh")</f>
        <v>Low</v>
      </c>
      <c r="O148" t="str" cm="1">
        <f t="array" ref="O148">_xlfn.IFS(G148&lt;0.09,"Low",G148&lt;0.2,"Medium",G148&lt;0.4,"High")</f>
        <v>High</v>
      </c>
    </row>
    <row r="149" spans="1:15" x14ac:dyDescent="0.3">
      <c r="A149">
        <v>10148</v>
      </c>
      <c r="B149" s="1">
        <v>44709</v>
      </c>
      <c r="C149">
        <v>2005</v>
      </c>
      <c r="D149" t="s">
        <v>16</v>
      </c>
      <c r="E149">
        <v>5</v>
      </c>
      <c r="F149">
        <v>389.02</v>
      </c>
      <c r="G149">
        <v>0.25</v>
      </c>
      <c r="H149" t="s">
        <v>10</v>
      </c>
      <c r="I149" t="s">
        <v>11</v>
      </c>
      <c r="J149">
        <f>amazon_store_sales_2022__1[[#This Row],[UnitPrice]]*amazon_store_sales_2022__1[[#This Row],[Quantity]]</f>
        <v>1945.1</v>
      </c>
      <c r="K149">
        <f>amazon_store_sales_2022__1[[#This Row],[Total ]]*amazon_store_sales_2022__1[[#This Row],[Discount]]</f>
        <v>486.27499999999998</v>
      </c>
      <c r="L149" s="13">
        <f>amazon_store_sales_2022__1[[#This Row],[Total ]]-amazon_store_sales_2022__1[[#This Row],[Total Discount]]</f>
        <v>1458.8249999999998</v>
      </c>
      <c r="M149">
        <f>YEAR(amazon_store_sales_2022__1[[#This Row],[OrderDate]])</f>
        <v>2022</v>
      </c>
      <c r="N149" t="str" cm="1">
        <f t="array" ref="N149">_xlfn.IFS(L149&lt;500," VeryLow",L149&lt;1000,"Low",L149&lt;2000,"Medium",L149&lt;3000,"High",L149&lt;5000,"VeryHigh")</f>
        <v>Medium</v>
      </c>
      <c r="O149" t="str" cm="1">
        <f t="array" ref="O149">_xlfn.IFS(G149&lt;0.09,"Low",G149&lt;0.2,"Medium",G149&lt;0.4,"High")</f>
        <v>High</v>
      </c>
    </row>
    <row r="150" spans="1:15" x14ac:dyDescent="0.3">
      <c r="A150">
        <v>10149</v>
      </c>
      <c r="B150" s="1">
        <v>44710</v>
      </c>
      <c r="C150">
        <v>2090</v>
      </c>
      <c r="D150" t="s">
        <v>16</v>
      </c>
      <c r="E150">
        <v>8</v>
      </c>
      <c r="F150">
        <v>470.91</v>
      </c>
      <c r="G150">
        <v>0.15</v>
      </c>
      <c r="H150" t="s">
        <v>17</v>
      </c>
      <c r="I150" t="s">
        <v>11</v>
      </c>
      <c r="J150">
        <f>amazon_store_sales_2022__1[[#This Row],[UnitPrice]]*amazon_store_sales_2022__1[[#This Row],[Quantity]]</f>
        <v>3767.28</v>
      </c>
      <c r="K150">
        <f>amazon_store_sales_2022__1[[#This Row],[Total ]]*amazon_store_sales_2022__1[[#This Row],[Discount]]</f>
        <v>565.09199999999998</v>
      </c>
      <c r="L150" s="13">
        <f>amazon_store_sales_2022__1[[#This Row],[Total ]]-amazon_store_sales_2022__1[[#This Row],[Total Discount]]</f>
        <v>3202.1880000000001</v>
      </c>
      <c r="M150">
        <f>YEAR(amazon_store_sales_2022__1[[#This Row],[OrderDate]])</f>
        <v>2022</v>
      </c>
      <c r="N150" t="str" cm="1">
        <f t="array" ref="N150">_xlfn.IFS(L150&lt;500," VeryLow",L150&lt;1000,"Low",L150&lt;2000,"Medium",L150&lt;3000,"High",L150&lt;5000,"VeryHigh")</f>
        <v>VeryHigh</v>
      </c>
      <c r="O150" t="str" cm="1">
        <f t="array" ref="O150">_xlfn.IFS(G150&lt;0.09,"Low",G150&lt;0.2,"Medium",G150&lt;0.4,"High")</f>
        <v>Medium</v>
      </c>
    </row>
    <row r="151" spans="1:15" x14ac:dyDescent="0.3">
      <c r="A151">
        <v>10150</v>
      </c>
      <c r="B151" s="1">
        <v>44711</v>
      </c>
      <c r="C151">
        <v>2014</v>
      </c>
      <c r="D151" t="s">
        <v>12</v>
      </c>
      <c r="E151">
        <v>1</v>
      </c>
      <c r="F151">
        <v>40.85</v>
      </c>
      <c r="G151">
        <v>0.12</v>
      </c>
      <c r="H151" t="s">
        <v>17</v>
      </c>
      <c r="I151" t="s">
        <v>11</v>
      </c>
      <c r="J151">
        <f>amazon_store_sales_2022__1[[#This Row],[UnitPrice]]*amazon_store_sales_2022__1[[#This Row],[Quantity]]</f>
        <v>40.85</v>
      </c>
      <c r="K151">
        <f>amazon_store_sales_2022__1[[#This Row],[Total ]]*amazon_store_sales_2022__1[[#This Row],[Discount]]</f>
        <v>4.9020000000000001</v>
      </c>
      <c r="L151" s="13">
        <f>amazon_store_sales_2022__1[[#This Row],[Total ]]-amazon_store_sales_2022__1[[#This Row],[Total Discount]]</f>
        <v>35.948</v>
      </c>
      <c r="M151">
        <f>YEAR(amazon_store_sales_2022__1[[#This Row],[OrderDate]])</f>
        <v>2022</v>
      </c>
      <c r="N151" t="str" cm="1">
        <f t="array" ref="N151">_xlfn.IFS(L151&lt;500," VeryLow",L151&lt;1000,"Low",L151&lt;2000,"Medium",L151&lt;3000,"High",L151&lt;5000,"VeryHigh")</f>
        <v xml:space="preserve"> VeryLow</v>
      </c>
      <c r="O151" t="str" cm="1">
        <f t="array" ref="O151">_xlfn.IFS(G151&lt;0.09,"Low",G151&lt;0.2,"Medium",G151&lt;0.4,"High")</f>
        <v>Medium</v>
      </c>
    </row>
    <row r="152" spans="1:15" x14ac:dyDescent="0.3">
      <c r="A152">
        <v>10151</v>
      </c>
      <c r="B152" s="1">
        <v>44712</v>
      </c>
      <c r="C152">
        <v>2027</v>
      </c>
      <c r="D152" t="s">
        <v>19</v>
      </c>
      <c r="E152">
        <v>1</v>
      </c>
      <c r="F152">
        <v>269.45</v>
      </c>
      <c r="G152">
        <v>0.14000000000000001</v>
      </c>
      <c r="H152" t="s">
        <v>10</v>
      </c>
      <c r="I152" t="s">
        <v>11</v>
      </c>
      <c r="J152">
        <f>amazon_store_sales_2022__1[[#This Row],[UnitPrice]]*amazon_store_sales_2022__1[[#This Row],[Quantity]]</f>
        <v>269.45</v>
      </c>
      <c r="K152">
        <f>amazon_store_sales_2022__1[[#This Row],[Total ]]*amazon_store_sales_2022__1[[#This Row],[Discount]]</f>
        <v>37.722999999999999</v>
      </c>
      <c r="L152" s="13">
        <f>amazon_store_sales_2022__1[[#This Row],[Total ]]-amazon_store_sales_2022__1[[#This Row],[Total Discount]]</f>
        <v>231.72699999999998</v>
      </c>
      <c r="M152">
        <f>YEAR(amazon_store_sales_2022__1[[#This Row],[OrderDate]])</f>
        <v>2022</v>
      </c>
      <c r="N152" t="str" cm="1">
        <f t="array" ref="N152">_xlfn.IFS(L152&lt;500," VeryLow",L152&lt;1000,"Low",L152&lt;2000,"Medium",L152&lt;3000,"High",L152&lt;5000,"VeryHigh")</f>
        <v xml:space="preserve"> VeryLow</v>
      </c>
      <c r="O152" t="str" cm="1">
        <f t="array" ref="O152">_xlfn.IFS(G152&lt;0.09,"Low",G152&lt;0.2,"Medium",G152&lt;0.4,"High")</f>
        <v>Medium</v>
      </c>
    </row>
    <row r="153" spans="1:15" x14ac:dyDescent="0.3">
      <c r="A153">
        <v>10152</v>
      </c>
      <c r="B153" s="1">
        <v>44713</v>
      </c>
      <c r="C153">
        <v>2009</v>
      </c>
      <c r="D153" t="s">
        <v>12</v>
      </c>
      <c r="E153">
        <v>6</v>
      </c>
      <c r="F153">
        <v>441.85</v>
      </c>
      <c r="G153">
        <v>7.0000000000000007E-2</v>
      </c>
      <c r="H153" t="s">
        <v>10</v>
      </c>
      <c r="I153" t="s">
        <v>11</v>
      </c>
      <c r="J153">
        <f>amazon_store_sales_2022__1[[#This Row],[UnitPrice]]*amazon_store_sales_2022__1[[#This Row],[Quantity]]</f>
        <v>2651.1000000000004</v>
      </c>
      <c r="K153">
        <f>amazon_store_sales_2022__1[[#This Row],[Total ]]*amazon_store_sales_2022__1[[#This Row],[Discount]]</f>
        <v>185.57700000000006</v>
      </c>
      <c r="L153" s="13">
        <f>amazon_store_sales_2022__1[[#This Row],[Total ]]-amazon_store_sales_2022__1[[#This Row],[Total Discount]]</f>
        <v>2465.5230000000001</v>
      </c>
      <c r="M153">
        <f>YEAR(amazon_store_sales_2022__1[[#This Row],[OrderDate]])</f>
        <v>2022</v>
      </c>
      <c r="N153" t="str" cm="1">
        <f t="array" ref="N153">_xlfn.IFS(L153&lt;500," VeryLow",L153&lt;1000,"Low",L153&lt;2000,"Medium",L153&lt;3000,"High",L153&lt;5000,"VeryHigh")</f>
        <v>High</v>
      </c>
      <c r="O153" t="str" cm="1">
        <f t="array" ref="O153">_xlfn.IFS(G153&lt;0.09,"Low",G153&lt;0.2,"Medium",G153&lt;0.4,"High")</f>
        <v>Low</v>
      </c>
    </row>
    <row r="154" spans="1:15" x14ac:dyDescent="0.3">
      <c r="A154">
        <v>10153</v>
      </c>
      <c r="B154" s="1">
        <v>44714</v>
      </c>
      <c r="C154">
        <v>2079</v>
      </c>
      <c r="D154" t="s">
        <v>14</v>
      </c>
      <c r="E154">
        <v>2</v>
      </c>
      <c r="F154">
        <v>45.84</v>
      </c>
      <c r="G154">
        <v>0.27</v>
      </c>
      <c r="H154" t="s">
        <v>15</v>
      </c>
      <c r="I154" t="s">
        <v>11</v>
      </c>
      <c r="J154">
        <f>amazon_store_sales_2022__1[[#This Row],[UnitPrice]]*amazon_store_sales_2022__1[[#This Row],[Quantity]]</f>
        <v>91.68</v>
      </c>
      <c r="K154">
        <f>amazon_store_sales_2022__1[[#This Row],[Total ]]*amazon_store_sales_2022__1[[#This Row],[Discount]]</f>
        <v>24.753600000000002</v>
      </c>
      <c r="L154" s="13">
        <f>amazon_store_sales_2022__1[[#This Row],[Total ]]-amazon_store_sales_2022__1[[#This Row],[Total Discount]]</f>
        <v>66.926400000000001</v>
      </c>
      <c r="M154">
        <f>YEAR(amazon_store_sales_2022__1[[#This Row],[OrderDate]])</f>
        <v>2022</v>
      </c>
      <c r="N154" t="str" cm="1">
        <f t="array" ref="N154">_xlfn.IFS(L154&lt;500," VeryLow",L154&lt;1000,"Low",L154&lt;2000,"Medium",L154&lt;3000,"High",L154&lt;5000,"VeryHigh")</f>
        <v xml:space="preserve"> VeryLow</v>
      </c>
      <c r="O154" t="str" cm="1">
        <f t="array" ref="O154">_xlfn.IFS(G154&lt;0.09,"Low",G154&lt;0.2,"Medium",G154&lt;0.4,"High")</f>
        <v>High</v>
      </c>
    </row>
    <row r="155" spans="1:15" x14ac:dyDescent="0.3">
      <c r="A155">
        <v>10154</v>
      </c>
      <c r="B155" s="1">
        <v>44715</v>
      </c>
      <c r="C155">
        <v>2015</v>
      </c>
      <c r="D155" t="s">
        <v>12</v>
      </c>
      <c r="E155">
        <v>5</v>
      </c>
      <c r="F155">
        <v>413.13</v>
      </c>
      <c r="G155">
        <v>0.14000000000000001</v>
      </c>
      <c r="H155" t="s">
        <v>15</v>
      </c>
      <c r="I155" t="s">
        <v>11</v>
      </c>
      <c r="J155">
        <f>amazon_store_sales_2022__1[[#This Row],[UnitPrice]]*amazon_store_sales_2022__1[[#This Row],[Quantity]]</f>
        <v>2065.65</v>
      </c>
      <c r="K155">
        <f>amazon_store_sales_2022__1[[#This Row],[Total ]]*amazon_store_sales_2022__1[[#This Row],[Discount]]</f>
        <v>289.19100000000003</v>
      </c>
      <c r="L155" s="13">
        <f>amazon_store_sales_2022__1[[#This Row],[Total ]]-amazon_store_sales_2022__1[[#This Row],[Total Discount]]</f>
        <v>1776.4590000000001</v>
      </c>
      <c r="M155">
        <f>YEAR(amazon_store_sales_2022__1[[#This Row],[OrderDate]])</f>
        <v>2022</v>
      </c>
      <c r="N155" t="str" cm="1">
        <f t="array" ref="N155">_xlfn.IFS(L155&lt;500," VeryLow",L155&lt;1000,"Low",L155&lt;2000,"Medium",L155&lt;3000,"High",L155&lt;5000,"VeryHigh")</f>
        <v>Medium</v>
      </c>
      <c r="O155" t="str" cm="1">
        <f t="array" ref="O155">_xlfn.IFS(G155&lt;0.09,"Low",G155&lt;0.2,"Medium",G155&lt;0.4,"High")</f>
        <v>Medium</v>
      </c>
    </row>
    <row r="156" spans="1:15" x14ac:dyDescent="0.3">
      <c r="A156">
        <v>10155</v>
      </c>
      <c r="B156" s="1">
        <v>44716</v>
      </c>
      <c r="C156">
        <v>2090</v>
      </c>
      <c r="D156" t="s">
        <v>12</v>
      </c>
      <c r="E156">
        <v>1</v>
      </c>
      <c r="F156">
        <v>182.11</v>
      </c>
      <c r="G156">
        <v>0.26</v>
      </c>
      <c r="H156" t="s">
        <v>17</v>
      </c>
      <c r="I156" t="s">
        <v>18</v>
      </c>
      <c r="J156">
        <f>amazon_store_sales_2022__1[[#This Row],[UnitPrice]]*amazon_store_sales_2022__1[[#This Row],[Quantity]]</f>
        <v>182.11</v>
      </c>
      <c r="K156">
        <f>amazon_store_sales_2022__1[[#This Row],[Total ]]*amazon_store_sales_2022__1[[#This Row],[Discount]]</f>
        <v>47.348600000000005</v>
      </c>
      <c r="L156" s="13">
        <f>amazon_store_sales_2022__1[[#This Row],[Total ]]-amazon_store_sales_2022__1[[#This Row],[Total Discount]]</f>
        <v>134.76140000000001</v>
      </c>
      <c r="M156">
        <f>YEAR(amazon_store_sales_2022__1[[#This Row],[OrderDate]])</f>
        <v>2022</v>
      </c>
      <c r="N156" t="str" cm="1">
        <f t="array" ref="N156">_xlfn.IFS(L156&lt;500," VeryLow",L156&lt;1000,"Low",L156&lt;2000,"Medium",L156&lt;3000,"High",L156&lt;5000,"VeryHigh")</f>
        <v xml:space="preserve"> VeryLow</v>
      </c>
      <c r="O156" t="str" cm="1">
        <f t="array" ref="O156">_xlfn.IFS(G156&lt;0.09,"Low",G156&lt;0.2,"Medium",G156&lt;0.4,"High")</f>
        <v>High</v>
      </c>
    </row>
    <row r="157" spans="1:15" x14ac:dyDescent="0.3">
      <c r="A157">
        <v>10156</v>
      </c>
      <c r="B157" s="1">
        <v>44717</v>
      </c>
      <c r="C157">
        <v>2042</v>
      </c>
      <c r="D157" t="s">
        <v>16</v>
      </c>
      <c r="E157">
        <v>7</v>
      </c>
      <c r="F157">
        <v>164.44</v>
      </c>
      <c r="G157">
        <v>0.03</v>
      </c>
      <c r="H157" t="s">
        <v>17</v>
      </c>
      <c r="I157" t="s">
        <v>11</v>
      </c>
      <c r="J157">
        <f>amazon_store_sales_2022__1[[#This Row],[UnitPrice]]*amazon_store_sales_2022__1[[#This Row],[Quantity]]</f>
        <v>1151.08</v>
      </c>
      <c r="K157">
        <f>amazon_store_sales_2022__1[[#This Row],[Total ]]*amazon_store_sales_2022__1[[#This Row],[Discount]]</f>
        <v>34.532399999999996</v>
      </c>
      <c r="L157" s="13">
        <f>amazon_store_sales_2022__1[[#This Row],[Total ]]-amazon_store_sales_2022__1[[#This Row],[Total Discount]]</f>
        <v>1116.5475999999999</v>
      </c>
      <c r="M157">
        <f>YEAR(amazon_store_sales_2022__1[[#This Row],[OrderDate]])</f>
        <v>2022</v>
      </c>
      <c r="N157" t="str" cm="1">
        <f t="array" ref="N157">_xlfn.IFS(L157&lt;500," VeryLow",L157&lt;1000,"Low",L157&lt;2000,"Medium",L157&lt;3000,"High",L157&lt;5000,"VeryHigh")</f>
        <v>Medium</v>
      </c>
      <c r="O157" t="str" cm="1">
        <f t="array" ref="O157">_xlfn.IFS(G157&lt;0.09,"Low",G157&lt;0.2,"Medium",G157&lt;0.4,"High")</f>
        <v>Low</v>
      </c>
    </row>
    <row r="158" spans="1:15" x14ac:dyDescent="0.3">
      <c r="A158">
        <v>10157</v>
      </c>
      <c r="B158" s="1">
        <v>44718</v>
      </c>
      <c r="C158">
        <v>2077</v>
      </c>
      <c r="D158" t="s">
        <v>16</v>
      </c>
      <c r="E158">
        <v>1</v>
      </c>
      <c r="F158">
        <v>488.85</v>
      </c>
      <c r="G158">
        <v>0.3</v>
      </c>
      <c r="H158" t="s">
        <v>13</v>
      </c>
      <c r="I158" t="s">
        <v>11</v>
      </c>
      <c r="J158">
        <f>amazon_store_sales_2022__1[[#This Row],[UnitPrice]]*amazon_store_sales_2022__1[[#This Row],[Quantity]]</f>
        <v>488.85</v>
      </c>
      <c r="K158">
        <f>amazon_store_sales_2022__1[[#This Row],[Total ]]*amazon_store_sales_2022__1[[#This Row],[Discount]]</f>
        <v>146.655</v>
      </c>
      <c r="L158" s="13">
        <f>amazon_store_sales_2022__1[[#This Row],[Total ]]-amazon_store_sales_2022__1[[#This Row],[Total Discount]]</f>
        <v>342.19500000000005</v>
      </c>
      <c r="M158">
        <f>YEAR(amazon_store_sales_2022__1[[#This Row],[OrderDate]])</f>
        <v>2022</v>
      </c>
      <c r="N158" t="str" cm="1">
        <f t="array" ref="N158">_xlfn.IFS(L158&lt;500," VeryLow",L158&lt;1000,"Low",L158&lt;2000,"Medium",L158&lt;3000,"High",L158&lt;5000,"VeryHigh")</f>
        <v xml:space="preserve"> VeryLow</v>
      </c>
      <c r="O158" t="str" cm="1">
        <f t="array" ref="O158">_xlfn.IFS(G158&lt;0.09,"Low",G158&lt;0.2,"Medium",G158&lt;0.4,"High")</f>
        <v>High</v>
      </c>
    </row>
    <row r="159" spans="1:15" x14ac:dyDescent="0.3">
      <c r="A159">
        <v>10158</v>
      </c>
      <c r="B159" s="1">
        <v>44719</v>
      </c>
      <c r="C159">
        <v>2051</v>
      </c>
      <c r="D159" t="s">
        <v>16</v>
      </c>
      <c r="E159">
        <v>4</v>
      </c>
      <c r="F159">
        <v>104.43</v>
      </c>
      <c r="G159">
        <v>0.13</v>
      </c>
      <c r="H159" t="s">
        <v>13</v>
      </c>
      <c r="I159" t="s">
        <v>18</v>
      </c>
      <c r="J159">
        <f>amazon_store_sales_2022__1[[#This Row],[UnitPrice]]*amazon_store_sales_2022__1[[#This Row],[Quantity]]</f>
        <v>417.72</v>
      </c>
      <c r="K159">
        <f>amazon_store_sales_2022__1[[#This Row],[Total ]]*amazon_store_sales_2022__1[[#This Row],[Discount]]</f>
        <v>54.303600000000003</v>
      </c>
      <c r="L159" s="13">
        <f>amazon_store_sales_2022__1[[#This Row],[Total ]]-amazon_store_sales_2022__1[[#This Row],[Total Discount]]</f>
        <v>363.41640000000001</v>
      </c>
      <c r="M159">
        <f>YEAR(amazon_store_sales_2022__1[[#This Row],[OrderDate]])</f>
        <v>2022</v>
      </c>
      <c r="N159" t="str" cm="1">
        <f t="array" ref="N159">_xlfn.IFS(L159&lt;500," VeryLow",L159&lt;1000,"Low",L159&lt;2000,"Medium",L159&lt;3000,"High",L159&lt;5000,"VeryHigh")</f>
        <v xml:space="preserve"> VeryLow</v>
      </c>
      <c r="O159" t="str" cm="1">
        <f t="array" ref="O159">_xlfn.IFS(G159&lt;0.09,"Low",G159&lt;0.2,"Medium",G159&lt;0.4,"High")</f>
        <v>Medium</v>
      </c>
    </row>
    <row r="160" spans="1:15" x14ac:dyDescent="0.3">
      <c r="A160">
        <v>10159</v>
      </c>
      <c r="B160" s="1">
        <v>44720</v>
      </c>
      <c r="C160">
        <v>2063</v>
      </c>
      <c r="D160" t="s">
        <v>14</v>
      </c>
      <c r="E160">
        <v>9</v>
      </c>
      <c r="F160">
        <v>348.13</v>
      </c>
      <c r="G160">
        <v>0.01</v>
      </c>
      <c r="H160" t="s">
        <v>15</v>
      </c>
      <c r="I160" t="s">
        <v>11</v>
      </c>
      <c r="J160">
        <f>amazon_store_sales_2022__1[[#This Row],[UnitPrice]]*amazon_store_sales_2022__1[[#This Row],[Quantity]]</f>
        <v>3133.17</v>
      </c>
      <c r="K160">
        <f>amazon_store_sales_2022__1[[#This Row],[Total ]]*amazon_store_sales_2022__1[[#This Row],[Discount]]</f>
        <v>31.331700000000001</v>
      </c>
      <c r="L160" s="13">
        <f>amazon_store_sales_2022__1[[#This Row],[Total ]]-amazon_store_sales_2022__1[[#This Row],[Total Discount]]</f>
        <v>3101.8382999999999</v>
      </c>
      <c r="M160">
        <f>YEAR(amazon_store_sales_2022__1[[#This Row],[OrderDate]])</f>
        <v>2022</v>
      </c>
      <c r="N160" t="str" cm="1">
        <f t="array" ref="N160">_xlfn.IFS(L160&lt;500," VeryLow",L160&lt;1000,"Low",L160&lt;2000,"Medium",L160&lt;3000,"High",L160&lt;5000,"VeryHigh")</f>
        <v>VeryHigh</v>
      </c>
      <c r="O160" t="str" cm="1">
        <f t="array" ref="O160">_xlfn.IFS(G160&lt;0.09,"Low",G160&lt;0.2,"Medium",G160&lt;0.4,"High")</f>
        <v>Low</v>
      </c>
    </row>
    <row r="161" spans="1:15" x14ac:dyDescent="0.3">
      <c r="A161">
        <v>10160</v>
      </c>
      <c r="B161" s="1">
        <v>44721</v>
      </c>
      <c r="C161">
        <v>2096</v>
      </c>
      <c r="D161" t="s">
        <v>16</v>
      </c>
      <c r="E161">
        <v>1</v>
      </c>
      <c r="F161">
        <v>411.61</v>
      </c>
      <c r="G161">
        <v>0.01</v>
      </c>
      <c r="H161" t="s">
        <v>15</v>
      </c>
      <c r="I161" t="s">
        <v>11</v>
      </c>
      <c r="J161">
        <f>amazon_store_sales_2022__1[[#This Row],[UnitPrice]]*amazon_store_sales_2022__1[[#This Row],[Quantity]]</f>
        <v>411.61</v>
      </c>
      <c r="K161">
        <f>amazon_store_sales_2022__1[[#This Row],[Total ]]*amazon_store_sales_2022__1[[#This Row],[Discount]]</f>
        <v>4.1161000000000003</v>
      </c>
      <c r="L161" s="13">
        <f>amazon_store_sales_2022__1[[#This Row],[Total ]]-amazon_store_sales_2022__1[[#This Row],[Total Discount]]</f>
        <v>407.4939</v>
      </c>
      <c r="M161">
        <f>YEAR(amazon_store_sales_2022__1[[#This Row],[OrderDate]])</f>
        <v>2022</v>
      </c>
      <c r="N161" t="str" cm="1">
        <f t="array" ref="N161">_xlfn.IFS(L161&lt;500," VeryLow",L161&lt;1000,"Low",L161&lt;2000,"Medium",L161&lt;3000,"High",L161&lt;5000,"VeryHigh")</f>
        <v xml:space="preserve"> VeryLow</v>
      </c>
      <c r="O161" t="str" cm="1">
        <f t="array" ref="O161">_xlfn.IFS(G161&lt;0.09,"Low",G161&lt;0.2,"Medium",G161&lt;0.4,"High")</f>
        <v>Low</v>
      </c>
    </row>
    <row r="162" spans="1:15" x14ac:dyDescent="0.3">
      <c r="A162">
        <v>10161</v>
      </c>
      <c r="B162" s="1">
        <v>44722</v>
      </c>
      <c r="C162">
        <v>2052</v>
      </c>
      <c r="D162" t="s">
        <v>19</v>
      </c>
      <c r="E162">
        <v>4</v>
      </c>
      <c r="F162">
        <v>25.39</v>
      </c>
      <c r="G162">
        <v>0.22</v>
      </c>
      <c r="H162" t="s">
        <v>13</v>
      </c>
      <c r="I162" t="s">
        <v>18</v>
      </c>
      <c r="J162">
        <f>amazon_store_sales_2022__1[[#This Row],[UnitPrice]]*amazon_store_sales_2022__1[[#This Row],[Quantity]]</f>
        <v>101.56</v>
      </c>
      <c r="K162">
        <f>amazon_store_sales_2022__1[[#This Row],[Total ]]*amazon_store_sales_2022__1[[#This Row],[Discount]]</f>
        <v>22.3432</v>
      </c>
      <c r="L162" s="13">
        <f>amazon_store_sales_2022__1[[#This Row],[Total ]]-amazon_store_sales_2022__1[[#This Row],[Total Discount]]</f>
        <v>79.216800000000006</v>
      </c>
      <c r="M162">
        <f>YEAR(amazon_store_sales_2022__1[[#This Row],[OrderDate]])</f>
        <v>2022</v>
      </c>
      <c r="N162" t="str" cm="1">
        <f t="array" ref="N162">_xlfn.IFS(L162&lt;500," VeryLow",L162&lt;1000,"Low",L162&lt;2000,"Medium",L162&lt;3000,"High",L162&lt;5000,"VeryHigh")</f>
        <v xml:space="preserve"> VeryLow</v>
      </c>
      <c r="O162" t="str" cm="1">
        <f t="array" ref="O162">_xlfn.IFS(G162&lt;0.09,"Low",G162&lt;0.2,"Medium",G162&lt;0.4,"High")</f>
        <v>High</v>
      </c>
    </row>
    <row r="163" spans="1:15" x14ac:dyDescent="0.3">
      <c r="A163">
        <v>10162</v>
      </c>
      <c r="B163" s="1">
        <v>44723</v>
      </c>
      <c r="C163">
        <v>2096</v>
      </c>
      <c r="D163" t="s">
        <v>9</v>
      </c>
      <c r="E163">
        <v>6</v>
      </c>
      <c r="F163">
        <v>336.84</v>
      </c>
      <c r="G163">
        <v>0.2</v>
      </c>
      <c r="H163" t="s">
        <v>13</v>
      </c>
      <c r="I163" t="s">
        <v>11</v>
      </c>
      <c r="J163">
        <f>amazon_store_sales_2022__1[[#This Row],[UnitPrice]]*amazon_store_sales_2022__1[[#This Row],[Quantity]]</f>
        <v>2021.04</v>
      </c>
      <c r="K163">
        <f>amazon_store_sales_2022__1[[#This Row],[Total ]]*amazon_store_sales_2022__1[[#This Row],[Discount]]</f>
        <v>404.20800000000003</v>
      </c>
      <c r="L163" s="13">
        <f>amazon_store_sales_2022__1[[#This Row],[Total ]]-amazon_store_sales_2022__1[[#This Row],[Total Discount]]</f>
        <v>1616.8319999999999</v>
      </c>
      <c r="M163">
        <f>YEAR(amazon_store_sales_2022__1[[#This Row],[OrderDate]])</f>
        <v>2022</v>
      </c>
      <c r="N163" t="str" cm="1">
        <f t="array" ref="N163">_xlfn.IFS(L163&lt;500," VeryLow",L163&lt;1000,"Low",L163&lt;2000,"Medium",L163&lt;3000,"High",L163&lt;5000,"VeryHigh")</f>
        <v>Medium</v>
      </c>
      <c r="O163" t="str" cm="1">
        <f t="array" ref="O163">_xlfn.IFS(G163&lt;0.09,"Low",G163&lt;0.2,"Medium",G163&lt;0.4,"High")</f>
        <v>High</v>
      </c>
    </row>
    <row r="164" spans="1:15" x14ac:dyDescent="0.3">
      <c r="A164">
        <v>10163</v>
      </c>
      <c r="B164" s="1">
        <v>44724</v>
      </c>
      <c r="C164">
        <v>2004</v>
      </c>
      <c r="D164" t="s">
        <v>19</v>
      </c>
      <c r="E164">
        <v>6</v>
      </c>
      <c r="F164">
        <v>476.02</v>
      </c>
      <c r="G164">
        <v>0.24</v>
      </c>
      <c r="H164" t="s">
        <v>20</v>
      </c>
      <c r="I164" t="s">
        <v>18</v>
      </c>
      <c r="J164">
        <f>amazon_store_sales_2022__1[[#This Row],[UnitPrice]]*amazon_store_sales_2022__1[[#This Row],[Quantity]]</f>
        <v>2856.12</v>
      </c>
      <c r="K164">
        <f>amazon_store_sales_2022__1[[#This Row],[Total ]]*amazon_store_sales_2022__1[[#This Row],[Discount]]</f>
        <v>685.46879999999999</v>
      </c>
      <c r="L164" s="13">
        <f>amazon_store_sales_2022__1[[#This Row],[Total ]]-amazon_store_sales_2022__1[[#This Row],[Total Discount]]</f>
        <v>2170.6511999999998</v>
      </c>
      <c r="M164">
        <f>YEAR(amazon_store_sales_2022__1[[#This Row],[OrderDate]])</f>
        <v>2022</v>
      </c>
      <c r="N164" t="str" cm="1">
        <f t="array" ref="N164">_xlfn.IFS(L164&lt;500," VeryLow",L164&lt;1000,"Low",L164&lt;2000,"Medium",L164&lt;3000,"High",L164&lt;5000,"VeryHigh")</f>
        <v>High</v>
      </c>
      <c r="O164" t="str" cm="1">
        <f t="array" ref="O164">_xlfn.IFS(G164&lt;0.09,"Low",G164&lt;0.2,"Medium",G164&lt;0.4,"High")</f>
        <v>High</v>
      </c>
    </row>
    <row r="165" spans="1:15" x14ac:dyDescent="0.3">
      <c r="A165">
        <v>10164</v>
      </c>
      <c r="B165" s="1">
        <v>44725</v>
      </c>
      <c r="C165">
        <v>2094</v>
      </c>
      <c r="D165" t="s">
        <v>19</v>
      </c>
      <c r="E165">
        <v>8</v>
      </c>
      <c r="F165">
        <v>66.489999999999995</v>
      </c>
      <c r="G165">
        <v>0.03</v>
      </c>
      <c r="H165" t="s">
        <v>20</v>
      </c>
      <c r="I165" t="s">
        <v>18</v>
      </c>
      <c r="J165">
        <f>amazon_store_sales_2022__1[[#This Row],[UnitPrice]]*amazon_store_sales_2022__1[[#This Row],[Quantity]]</f>
        <v>531.91999999999996</v>
      </c>
      <c r="K165">
        <f>amazon_store_sales_2022__1[[#This Row],[Total ]]*amazon_store_sales_2022__1[[#This Row],[Discount]]</f>
        <v>15.957599999999998</v>
      </c>
      <c r="L165" s="13">
        <f>amazon_store_sales_2022__1[[#This Row],[Total ]]-amazon_store_sales_2022__1[[#This Row],[Total Discount]]</f>
        <v>515.9624</v>
      </c>
      <c r="M165">
        <f>YEAR(amazon_store_sales_2022__1[[#This Row],[OrderDate]])</f>
        <v>2022</v>
      </c>
      <c r="N165" t="str" cm="1">
        <f t="array" ref="N165">_xlfn.IFS(L165&lt;500," VeryLow",L165&lt;1000,"Low",L165&lt;2000,"Medium",L165&lt;3000,"High",L165&lt;5000,"VeryHigh")</f>
        <v>Low</v>
      </c>
      <c r="O165" t="str" cm="1">
        <f t="array" ref="O165">_xlfn.IFS(G165&lt;0.09,"Low",G165&lt;0.2,"Medium",G165&lt;0.4,"High")</f>
        <v>Low</v>
      </c>
    </row>
    <row r="166" spans="1:15" x14ac:dyDescent="0.3">
      <c r="A166">
        <v>10165</v>
      </c>
      <c r="B166" s="1">
        <v>44726</v>
      </c>
      <c r="C166">
        <v>2023</v>
      </c>
      <c r="D166" t="s">
        <v>16</v>
      </c>
      <c r="E166">
        <v>1</v>
      </c>
      <c r="F166">
        <v>448.63</v>
      </c>
      <c r="G166">
        <v>0.01</v>
      </c>
      <c r="H166" t="s">
        <v>13</v>
      </c>
      <c r="I166" t="s">
        <v>18</v>
      </c>
      <c r="J166">
        <f>amazon_store_sales_2022__1[[#This Row],[UnitPrice]]*amazon_store_sales_2022__1[[#This Row],[Quantity]]</f>
        <v>448.63</v>
      </c>
      <c r="K166">
        <f>amazon_store_sales_2022__1[[#This Row],[Total ]]*amazon_store_sales_2022__1[[#This Row],[Discount]]</f>
        <v>4.4863</v>
      </c>
      <c r="L166" s="13">
        <f>amazon_store_sales_2022__1[[#This Row],[Total ]]-amazon_store_sales_2022__1[[#This Row],[Total Discount]]</f>
        <v>444.14369999999997</v>
      </c>
      <c r="M166">
        <f>YEAR(amazon_store_sales_2022__1[[#This Row],[OrderDate]])</f>
        <v>2022</v>
      </c>
      <c r="N166" t="str" cm="1">
        <f t="array" ref="N166">_xlfn.IFS(L166&lt;500," VeryLow",L166&lt;1000,"Low",L166&lt;2000,"Medium",L166&lt;3000,"High",L166&lt;5000,"VeryHigh")</f>
        <v xml:space="preserve"> VeryLow</v>
      </c>
      <c r="O166" t="str" cm="1">
        <f t="array" ref="O166">_xlfn.IFS(G166&lt;0.09,"Low",G166&lt;0.2,"Medium",G166&lt;0.4,"High")</f>
        <v>Low</v>
      </c>
    </row>
    <row r="167" spans="1:15" x14ac:dyDescent="0.3">
      <c r="A167">
        <v>10166</v>
      </c>
      <c r="B167" s="1">
        <v>44727</v>
      </c>
      <c r="C167">
        <v>2015</v>
      </c>
      <c r="D167" t="s">
        <v>9</v>
      </c>
      <c r="E167">
        <v>7</v>
      </c>
      <c r="F167">
        <v>299.41000000000003</v>
      </c>
      <c r="G167">
        <v>0.15</v>
      </c>
      <c r="H167" t="s">
        <v>20</v>
      </c>
      <c r="I167" t="s">
        <v>18</v>
      </c>
      <c r="J167">
        <f>amazon_store_sales_2022__1[[#This Row],[UnitPrice]]*amazon_store_sales_2022__1[[#This Row],[Quantity]]</f>
        <v>2095.8700000000003</v>
      </c>
      <c r="K167">
        <f>amazon_store_sales_2022__1[[#This Row],[Total ]]*amazon_store_sales_2022__1[[#This Row],[Discount]]</f>
        <v>314.38050000000004</v>
      </c>
      <c r="L167" s="13">
        <f>amazon_store_sales_2022__1[[#This Row],[Total ]]-amazon_store_sales_2022__1[[#This Row],[Total Discount]]</f>
        <v>1781.4895000000004</v>
      </c>
      <c r="M167">
        <f>YEAR(amazon_store_sales_2022__1[[#This Row],[OrderDate]])</f>
        <v>2022</v>
      </c>
      <c r="N167" t="str" cm="1">
        <f t="array" ref="N167">_xlfn.IFS(L167&lt;500," VeryLow",L167&lt;1000,"Low",L167&lt;2000,"Medium",L167&lt;3000,"High",L167&lt;5000,"VeryHigh")</f>
        <v>Medium</v>
      </c>
      <c r="O167" t="str" cm="1">
        <f t="array" ref="O167">_xlfn.IFS(G167&lt;0.09,"Low",G167&lt;0.2,"Medium",G167&lt;0.4,"High")</f>
        <v>Medium</v>
      </c>
    </row>
    <row r="168" spans="1:15" x14ac:dyDescent="0.3">
      <c r="A168">
        <v>10167</v>
      </c>
      <c r="B168" s="1">
        <v>44728</v>
      </c>
      <c r="C168">
        <v>2043</v>
      </c>
      <c r="D168" t="s">
        <v>9</v>
      </c>
      <c r="E168">
        <v>1</v>
      </c>
      <c r="F168">
        <v>310.22000000000003</v>
      </c>
      <c r="G168">
        <v>0.12</v>
      </c>
      <c r="H168" t="s">
        <v>10</v>
      </c>
      <c r="I168" t="s">
        <v>11</v>
      </c>
      <c r="J168">
        <f>amazon_store_sales_2022__1[[#This Row],[UnitPrice]]*amazon_store_sales_2022__1[[#This Row],[Quantity]]</f>
        <v>310.22000000000003</v>
      </c>
      <c r="K168">
        <f>amazon_store_sales_2022__1[[#This Row],[Total ]]*amazon_store_sales_2022__1[[#This Row],[Discount]]</f>
        <v>37.226400000000005</v>
      </c>
      <c r="L168" s="13">
        <f>amazon_store_sales_2022__1[[#This Row],[Total ]]-amazon_store_sales_2022__1[[#This Row],[Total Discount]]</f>
        <v>272.99360000000001</v>
      </c>
      <c r="M168">
        <f>YEAR(amazon_store_sales_2022__1[[#This Row],[OrderDate]])</f>
        <v>2022</v>
      </c>
      <c r="N168" t="str" cm="1">
        <f t="array" ref="N168">_xlfn.IFS(L168&lt;500," VeryLow",L168&lt;1000,"Low",L168&lt;2000,"Medium",L168&lt;3000,"High",L168&lt;5000,"VeryHigh")</f>
        <v xml:space="preserve"> VeryLow</v>
      </c>
      <c r="O168" t="str" cm="1">
        <f t="array" ref="O168">_xlfn.IFS(G168&lt;0.09,"Low",G168&lt;0.2,"Medium",G168&lt;0.4,"High")</f>
        <v>Medium</v>
      </c>
    </row>
    <row r="169" spans="1:15" x14ac:dyDescent="0.3">
      <c r="A169">
        <v>10168</v>
      </c>
      <c r="B169" s="1">
        <v>44729</v>
      </c>
      <c r="C169">
        <v>2029</v>
      </c>
      <c r="D169" t="s">
        <v>9</v>
      </c>
      <c r="E169">
        <v>7</v>
      </c>
      <c r="F169">
        <v>308.41000000000003</v>
      </c>
      <c r="G169">
        <v>0.14000000000000001</v>
      </c>
      <c r="H169" t="s">
        <v>15</v>
      </c>
      <c r="I169" t="s">
        <v>18</v>
      </c>
      <c r="J169">
        <f>amazon_store_sales_2022__1[[#This Row],[UnitPrice]]*amazon_store_sales_2022__1[[#This Row],[Quantity]]</f>
        <v>2158.8700000000003</v>
      </c>
      <c r="K169">
        <f>amazon_store_sales_2022__1[[#This Row],[Total ]]*amazon_store_sales_2022__1[[#This Row],[Discount]]</f>
        <v>302.24180000000007</v>
      </c>
      <c r="L169" s="13">
        <f>amazon_store_sales_2022__1[[#This Row],[Total ]]-amazon_store_sales_2022__1[[#This Row],[Total Discount]]</f>
        <v>1856.6282000000003</v>
      </c>
      <c r="M169">
        <f>YEAR(amazon_store_sales_2022__1[[#This Row],[OrderDate]])</f>
        <v>2022</v>
      </c>
      <c r="N169" t="str" cm="1">
        <f t="array" ref="N169">_xlfn.IFS(L169&lt;500," VeryLow",L169&lt;1000,"Low",L169&lt;2000,"Medium",L169&lt;3000,"High",L169&lt;5000,"VeryHigh")</f>
        <v>Medium</v>
      </c>
      <c r="O169" t="str" cm="1">
        <f t="array" ref="O169">_xlfn.IFS(G169&lt;0.09,"Low",G169&lt;0.2,"Medium",G169&lt;0.4,"High")</f>
        <v>Medium</v>
      </c>
    </row>
    <row r="170" spans="1:15" x14ac:dyDescent="0.3">
      <c r="A170">
        <v>10169</v>
      </c>
      <c r="B170" s="1">
        <v>44730</v>
      </c>
      <c r="C170">
        <v>2036</v>
      </c>
      <c r="D170" t="s">
        <v>14</v>
      </c>
      <c r="E170">
        <v>3</v>
      </c>
      <c r="F170">
        <v>152.91999999999999</v>
      </c>
      <c r="G170">
        <v>0.3</v>
      </c>
      <c r="H170" t="s">
        <v>15</v>
      </c>
      <c r="I170" t="s">
        <v>18</v>
      </c>
      <c r="J170">
        <f>amazon_store_sales_2022__1[[#This Row],[UnitPrice]]*amazon_store_sales_2022__1[[#This Row],[Quantity]]</f>
        <v>458.76</v>
      </c>
      <c r="K170">
        <f>amazon_store_sales_2022__1[[#This Row],[Total ]]*amazon_store_sales_2022__1[[#This Row],[Discount]]</f>
        <v>137.62799999999999</v>
      </c>
      <c r="L170" s="13">
        <f>amazon_store_sales_2022__1[[#This Row],[Total ]]-amazon_store_sales_2022__1[[#This Row],[Total Discount]]</f>
        <v>321.13200000000001</v>
      </c>
      <c r="M170">
        <f>YEAR(amazon_store_sales_2022__1[[#This Row],[OrderDate]])</f>
        <v>2022</v>
      </c>
      <c r="N170" t="str" cm="1">
        <f t="array" ref="N170">_xlfn.IFS(L170&lt;500," VeryLow",L170&lt;1000,"Low",L170&lt;2000,"Medium",L170&lt;3000,"High",L170&lt;5000,"VeryHigh")</f>
        <v xml:space="preserve"> VeryLow</v>
      </c>
      <c r="O170" t="str" cm="1">
        <f t="array" ref="O170">_xlfn.IFS(G170&lt;0.09,"Low",G170&lt;0.2,"Medium",G170&lt;0.4,"High")</f>
        <v>High</v>
      </c>
    </row>
    <row r="171" spans="1:15" x14ac:dyDescent="0.3">
      <c r="A171">
        <v>10170</v>
      </c>
      <c r="B171" s="1">
        <v>44731</v>
      </c>
      <c r="C171">
        <v>2013</v>
      </c>
      <c r="D171" t="s">
        <v>16</v>
      </c>
      <c r="E171">
        <v>8</v>
      </c>
      <c r="F171">
        <v>467.92</v>
      </c>
      <c r="G171">
        <v>0.28999999999999998</v>
      </c>
      <c r="H171" t="s">
        <v>13</v>
      </c>
      <c r="I171" t="s">
        <v>11</v>
      </c>
      <c r="J171">
        <f>amazon_store_sales_2022__1[[#This Row],[UnitPrice]]*amazon_store_sales_2022__1[[#This Row],[Quantity]]</f>
        <v>3743.36</v>
      </c>
      <c r="K171">
        <f>amazon_store_sales_2022__1[[#This Row],[Total ]]*amazon_store_sales_2022__1[[#This Row],[Discount]]</f>
        <v>1085.5744</v>
      </c>
      <c r="L171" s="13">
        <f>amazon_store_sales_2022__1[[#This Row],[Total ]]-amazon_store_sales_2022__1[[#This Row],[Total Discount]]</f>
        <v>2657.7856000000002</v>
      </c>
      <c r="M171">
        <f>YEAR(amazon_store_sales_2022__1[[#This Row],[OrderDate]])</f>
        <v>2022</v>
      </c>
      <c r="N171" t="str" cm="1">
        <f t="array" ref="N171">_xlfn.IFS(L171&lt;500," VeryLow",L171&lt;1000,"Low",L171&lt;2000,"Medium",L171&lt;3000,"High",L171&lt;5000,"VeryHigh")</f>
        <v>High</v>
      </c>
      <c r="O171" t="str" cm="1">
        <f t="array" ref="O171">_xlfn.IFS(G171&lt;0.09,"Low",G171&lt;0.2,"Medium",G171&lt;0.4,"High")</f>
        <v>High</v>
      </c>
    </row>
    <row r="172" spans="1:15" x14ac:dyDescent="0.3">
      <c r="A172">
        <v>10171</v>
      </c>
      <c r="B172" s="1">
        <v>44732</v>
      </c>
      <c r="C172">
        <v>2032</v>
      </c>
      <c r="D172" t="s">
        <v>9</v>
      </c>
      <c r="E172">
        <v>3</v>
      </c>
      <c r="F172">
        <v>473.94</v>
      </c>
      <c r="G172">
        <v>0.28000000000000003</v>
      </c>
      <c r="H172" t="s">
        <v>17</v>
      </c>
      <c r="I172" t="s">
        <v>18</v>
      </c>
      <c r="J172">
        <f>amazon_store_sales_2022__1[[#This Row],[UnitPrice]]*amazon_store_sales_2022__1[[#This Row],[Quantity]]</f>
        <v>1421.82</v>
      </c>
      <c r="K172">
        <f>amazon_store_sales_2022__1[[#This Row],[Total ]]*amazon_store_sales_2022__1[[#This Row],[Discount]]</f>
        <v>398.1096</v>
      </c>
      <c r="L172" s="13">
        <f>amazon_store_sales_2022__1[[#This Row],[Total ]]-amazon_store_sales_2022__1[[#This Row],[Total Discount]]</f>
        <v>1023.7103999999999</v>
      </c>
      <c r="M172">
        <f>YEAR(amazon_store_sales_2022__1[[#This Row],[OrderDate]])</f>
        <v>2022</v>
      </c>
      <c r="N172" t="str" cm="1">
        <f t="array" ref="N172">_xlfn.IFS(L172&lt;500," VeryLow",L172&lt;1000,"Low",L172&lt;2000,"Medium",L172&lt;3000,"High",L172&lt;5000,"VeryHigh")</f>
        <v>Medium</v>
      </c>
      <c r="O172" t="str" cm="1">
        <f t="array" ref="O172">_xlfn.IFS(G172&lt;0.09,"Low",G172&lt;0.2,"Medium",G172&lt;0.4,"High")</f>
        <v>High</v>
      </c>
    </row>
    <row r="173" spans="1:15" x14ac:dyDescent="0.3">
      <c r="A173">
        <v>10172</v>
      </c>
      <c r="B173" s="1">
        <v>44733</v>
      </c>
      <c r="C173">
        <v>2071</v>
      </c>
      <c r="D173" t="s">
        <v>14</v>
      </c>
      <c r="E173">
        <v>1</v>
      </c>
      <c r="F173">
        <v>314.52999999999997</v>
      </c>
      <c r="G173">
        <v>0.24</v>
      </c>
      <c r="H173" t="s">
        <v>13</v>
      </c>
      <c r="I173" t="s">
        <v>18</v>
      </c>
      <c r="J173">
        <f>amazon_store_sales_2022__1[[#This Row],[UnitPrice]]*amazon_store_sales_2022__1[[#This Row],[Quantity]]</f>
        <v>314.52999999999997</v>
      </c>
      <c r="K173">
        <f>amazon_store_sales_2022__1[[#This Row],[Total ]]*amazon_store_sales_2022__1[[#This Row],[Discount]]</f>
        <v>75.487199999999987</v>
      </c>
      <c r="L173" s="13">
        <f>amazon_store_sales_2022__1[[#This Row],[Total ]]-amazon_store_sales_2022__1[[#This Row],[Total Discount]]</f>
        <v>239.0428</v>
      </c>
      <c r="M173">
        <f>YEAR(amazon_store_sales_2022__1[[#This Row],[OrderDate]])</f>
        <v>2022</v>
      </c>
      <c r="N173" t="str" cm="1">
        <f t="array" ref="N173">_xlfn.IFS(L173&lt;500," VeryLow",L173&lt;1000,"Low",L173&lt;2000,"Medium",L173&lt;3000,"High",L173&lt;5000,"VeryHigh")</f>
        <v xml:space="preserve"> VeryLow</v>
      </c>
      <c r="O173" t="str" cm="1">
        <f t="array" ref="O173">_xlfn.IFS(G173&lt;0.09,"Low",G173&lt;0.2,"Medium",G173&lt;0.4,"High")</f>
        <v>High</v>
      </c>
    </row>
    <row r="174" spans="1:15" x14ac:dyDescent="0.3">
      <c r="A174">
        <v>10173</v>
      </c>
      <c r="B174" s="1">
        <v>44734</v>
      </c>
      <c r="C174">
        <v>2059</v>
      </c>
      <c r="D174" t="s">
        <v>12</v>
      </c>
      <c r="E174">
        <v>8</v>
      </c>
      <c r="F174">
        <v>392.79</v>
      </c>
      <c r="G174">
        <v>0.11</v>
      </c>
      <c r="H174" t="s">
        <v>20</v>
      </c>
      <c r="I174" t="s">
        <v>18</v>
      </c>
      <c r="J174">
        <f>amazon_store_sales_2022__1[[#This Row],[UnitPrice]]*amazon_store_sales_2022__1[[#This Row],[Quantity]]</f>
        <v>3142.32</v>
      </c>
      <c r="K174">
        <f>amazon_store_sales_2022__1[[#This Row],[Total ]]*amazon_store_sales_2022__1[[#This Row],[Discount]]</f>
        <v>345.65520000000004</v>
      </c>
      <c r="L174" s="13">
        <f>amazon_store_sales_2022__1[[#This Row],[Total ]]-amazon_store_sales_2022__1[[#This Row],[Total Discount]]</f>
        <v>2796.6648</v>
      </c>
      <c r="M174">
        <f>YEAR(amazon_store_sales_2022__1[[#This Row],[OrderDate]])</f>
        <v>2022</v>
      </c>
      <c r="N174" t="str" cm="1">
        <f t="array" ref="N174">_xlfn.IFS(L174&lt;500," VeryLow",L174&lt;1000,"Low",L174&lt;2000,"Medium",L174&lt;3000,"High",L174&lt;5000,"VeryHigh")</f>
        <v>High</v>
      </c>
      <c r="O174" t="str" cm="1">
        <f t="array" ref="O174">_xlfn.IFS(G174&lt;0.09,"Low",G174&lt;0.2,"Medium",G174&lt;0.4,"High")</f>
        <v>Medium</v>
      </c>
    </row>
    <row r="175" spans="1:15" x14ac:dyDescent="0.3">
      <c r="A175">
        <v>10174</v>
      </c>
      <c r="B175" s="1">
        <v>44735</v>
      </c>
      <c r="C175">
        <v>2086</v>
      </c>
      <c r="D175" t="s">
        <v>12</v>
      </c>
      <c r="E175">
        <v>3</v>
      </c>
      <c r="F175">
        <v>308.07</v>
      </c>
      <c r="G175">
        <v>0.12</v>
      </c>
      <c r="H175" t="s">
        <v>17</v>
      </c>
      <c r="I175" t="s">
        <v>18</v>
      </c>
      <c r="J175">
        <f>amazon_store_sales_2022__1[[#This Row],[UnitPrice]]*amazon_store_sales_2022__1[[#This Row],[Quantity]]</f>
        <v>924.21</v>
      </c>
      <c r="K175">
        <f>amazon_store_sales_2022__1[[#This Row],[Total ]]*amazon_store_sales_2022__1[[#This Row],[Discount]]</f>
        <v>110.90519999999999</v>
      </c>
      <c r="L175" s="13">
        <f>amazon_store_sales_2022__1[[#This Row],[Total ]]-amazon_store_sales_2022__1[[#This Row],[Total Discount]]</f>
        <v>813.3048</v>
      </c>
      <c r="M175">
        <f>YEAR(amazon_store_sales_2022__1[[#This Row],[OrderDate]])</f>
        <v>2022</v>
      </c>
      <c r="N175" t="str" cm="1">
        <f t="array" ref="N175">_xlfn.IFS(L175&lt;500," VeryLow",L175&lt;1000,"Low",L175&lt;2000,"Medium",L175&lt;3000,"High",L175&lt;5000,"VeryHigh")</f>
        <v>Low</v>
      </c>
      <c r="O175" t="str" cm="1">
        <f t="array" ref="O175">_xlfn.IFS(G175&lt;0.09,"Low",G175&lt;0.2,"Medium",G175&lt;0.4,"High")</f>
        <v>Medium</v>
      </c>
    </row>
    <row r="176" spans="1:15" x14ac:dyDescent="0.3">
      <c r="A176">
        <v>10175</v>
      </c>
      <c r="B176" s="1">
        <v>44736</v>
      </c>
      <c r="C176">
        <v>2028</v>
      </c>
      <c r="D176" t="s">
        <v>14</v>
      </c>
      <c r="E176">
        <v>2</v>
      </c>
      <c r="F176">
        <v>244.78</v>
      </c>
      <c r="G176">
        <v>0.16</v>
      </c>
      <c r="H176" t="s">
        <v>20</v>
      </c>
      <c r="I176" t="s">
        <v>11</v>
      </c>
      <c r="J176">
        <f>amazon_store_sales_2022__1[[#This Row],[UnitPrice]]*amazon_store_sales_2022__1[[#This Row],[Quantity]]</f>
        <v>489.56</v>
      </c>
      <c r="K176">
        <f>amazon_store_sales_2022__1[[#This Row],[Total ]]*amazon_store_sales_2022__1[[#This Row],[Discount]]</f>
        <v>78.329599999999999</v>
      </c>
      <c r="L176" s="13">
        <f>amazon_store_sales_2022__1[[#This Row],[Total ]]-amazon_store_sales_2022__1[[#This Row],[Total Discount]]</f>
        <v>411.23040000000003</v>
      </c>
      <c r="M176">
        <f>YEAR(amazon_store_sales_2022__1[[#This Row],[OrderDate]])</f>
        <v>2022</v>
      </c>
      <c r="N176" t="str" cm="1">
        <f t="array" ref="N176">_xlfn.IFS(L176&lt;500," VeryLow",L176&lt;1000,"Low",L176&lt;2000,"Medium",L176&lt;3000,"High",L176&lt;5000,"VeryHigh")</f>
        <v xml:space="preserve"> VeryLow</v>
      </c>
      <c r="O176" t="str" cm="1">
        <f t="array" ref="O176">_xlfn.IFS(G176&lt;0.09,"Low",G176&lt;0.2,"Medium",G176&lt;0.4,"High")</f>
        <v>Medium</v>
      </c>
    </row>
    <row r="177" spans="1:15" x14ac:dyDescent="0.3">
      <c r="A177">
        <v>10176</v>
      </c>
      <c r="B177" s="1">
        <v>44737</v>
      </c>
      <c r="C177">
        <v>2066</v>
      </c>
      <c r="D177" t="s">
        <v>14</v>
      </c>
      <c r="E177">
        <v>1</v>
      </c>
      <c r="F177">
        <v>332.11</v>
      </c>
      <c r="G177">
        <v>0.25</v>
      </c>
      <c r="H177" t="s">
        <v>10</v>
      </c>
      <c r="I177" t="s">
        <v>18</v>
      </c>
      <c r="J177">
        <f>amazon_store_sales_2022__1[[#This Row],[UnitPrice]]*amazon_store_sales_2022__1[[#This Row],[Quantity]]</f>
        <v>332.11</v>
      </c>
      <c r="K177">
        <f>amazon_store_sales_2022__1[[#This Row],[Total ]]*amazon_store_sales_2022__1[[#This Row],[Discount]]</f>
        <v>83.027500000000003</v>
      </c>
      <c r="L177" s="13">
        <f>amazon_store_sales_2022__1[[#This Row],[Total ]]-amazon_store_sales_2022__1[[#This Row],[Total Discount]]</f>
        <v>249.08250000000001</v>
      </c>
      <c r="M177">
        <f>YEAR(amazon_store_sales_2022__1[[#This Row],[OrderDate]])</f>
        <v>2022</v>
      </c>
      <c r="N177" t="str" cm="1">
        <f t="array" ref="N177">_xlfn.IFS(L177&lt;500," VeryLow",L177&lt;1000,"Low",L177&lt;2000,"Medium",L177&lt;3000,"High",L177&lt;5000,"VeryHigh")</f>
        <v xml:space="preserve"> VeryLow</v>
      </c>
      <c r="O177" t="str" cm="1">
        <f t="array" ref="O177">_xlfn.IFS(G177&lt;0.09,"Low",G177&lt;0.2,"Medium",G177&lt;0.4,"High")</f>
        <v>High</v>
      </c>
    </row>
    <row r="178" spans="1:15" x14ac:dyDescent="0.3">
      <c r="A178">
        <v>10177</v>
      </c>
      <c r="B178" s="1">
        <v>44738</v>
      </c>
      <c r="C178">
        <v>2042</v>
      </c>
      <c r="D178" t="s">
        <v>16</v>
      </c>
      <c r="E178">
        <v>3</v>
      </c>
      <c r="F178">
        <v>278.74</v>
      </c>
      <c r="G178">
        <v>0.02</v>
      </c>
      <c r="H178" t="s">
        <v>20</v>
      </c>
      <c r="I178" t="s">
        <v>11</v>
      </c>
      <c r="J178">
        <f>amazon_store_sales_2022__1[[#This Row],[UnitPrice]]*amazon_store_sales_2022__1[[#This Row],[Quantity]]</f>
        <v>836.22</v>
      </c>
      <c r="K178">
        <f>amazon_store_sales_2022__1[[#This Row],[Total ]]*amazon_store_sales_2022__1[[#This Row],[Discount]]</f>
        <v>16.724399999999999</v>
      </c>
      <c r="L178" s="13">
        <f>amazon_store_sales_2022__1[[#This Row],[Total ]]-amazon_store_sales_2022__1[[#This Row],[Total Discount]]</f>
        <v>819.49560000000008</v>
      </c>
      <c r="M178">
        <f>YEAR(amazon_store_sales_2022__1[[#This Row],[OrderDate]])</f>
        <v>2022</v>
      </c>
      <c r="N178" t="str" cm="1">
        <f t="array" ref="N178">_xlfn.IFS(L178&lt;500," VeryLow",L178&lt;1000,"Low",L178&lt;2000,"Medium",L178&lt;3000,"High",L178&lt;5000,"VeryHigh")</f>
        <v>Low</v>
      </c>
      <c r="O178" t="str" cm="1">
        <f t="array" ref="O178">_xlfn.IFS(G178&lt;0.09,"Low",G178&lt;0.2,"Medium",G178&lt;0.4,"High")</f>
        <v>Low</v>
      </c>
    </row>
    <row r="179" spans="1:15" x14ac:dyDescent="0.3">
      <c r="A179">
        <v>10178</v>
      </c>
      <c r="B179" s="1">
        <v>44739</v>
      </c>
      <c r="C179">
        <v>2045</v>
      </c>
      <c r="D179" t="s">
        <v>16</v>
      </c>
      <c r="E179">
        <v>2</v>
      </c>
      <c r="F179">
        <v>300.75</v>
      </c>
      <c r="G179">
        <v>0.13</v>
      </c>
      <c r="H179" t="s">
        <v>10</v>
      </c>
      <c r="I179" t="s">
        <v>11</v>
      </c>
      <c r="J179">
        <f>amazon_store_sales_2022__1[[#This Row],[UnitPrice]]*amazon_store_sales_2022__1[[#This Row],[Quantity]]</f>
        <v>601.5</v>
      </c>
      <c r="K179">
        <f>amazon_store_sales_2022__1[[#This Row],[Total ]]*amazon_store_sales_2022__1[[#This Row],[Discount]]</f>
        <v>78.195000000000007</v>
      </c>
      <c r="L179" s="13">
        <f>amazon_store_sales_2022__1[[#This Row],[Total ]]-amazon_store_sales_2022__1[[#This Row],[Total Discount]]</f>
        <v>523.30499999999995</v>
      </c>
      <c r="M179">
        <f>YEAR(amazon_store_sales_2022__1[[#This Row],[OrderDate]])</f>
        <v>2022</v>
      </c>
      <c r="N179" t="str" cm="1">
        <f t="array" ref="N179">_xlfn.IFS(L179&lt;500," VeryLow",L179&lt;1000,"Low",L179&lt;2000,"Medium",L179&lt;3000,"High",L179&lt;5000,"VeryHigh")</f>
        <v>Low</v>
      </c>
      <c r="O179" t="str" cm="1">
        <f t="array" ref="O179">_xlfn.IFS(G179&lt;0.09,"Low",G179&lt;0.2,"Medium",G179&lt;0.4,"High")</f>
        <v>Medium</v>
      </c>
    </row>
    <row r="180" spans="1:15" x14ac:dyDescent="0.3">
      <c r="A180">
        <v>10179</v>
      </c>
      <c r="B180" s="1">
        <v>44740</v>
      </c>
      <c r="C180">
        <v>2062</v>
      </c>
      <c r="D180" t="s">
        <v>12</v>
      </c>
      <c r="E180">
        <v>2</v>
      </c>
      <c r="F180">
        <v>393</v>
      </c>
      <c r="G180">
        <v>0.02</v>
      </c>
      <c r="H180" t="s">
        <v>10</v>
      </c>
      <c r="I180" t="s">
        <v>18</v>
      </c>
      <c r="J180">
        <f>amazon_store_sales_2022__1[[#This Row],[UnitPrice]]*amazon_store_sales_2022__1[[#This Row],[Quantity]]</f>
        <v>786</v>
      </c>
      <c r="K180">
        <f>amazon_store_sales_2022__1[[#This Row],[Total ]]*amazon_store_sales_2022__1[[#This Row],[Discount]]</f>
        <v>15.72</v>
      </c>
      <c r="L180" s="13">
        <f>amazon_store_sales_2022__1[[#This Row],[Total ]]-amazon_store_sales_2022__1[[#This Row],[Total Discount]]</f>
        <v>770.28</v>
      </c>
      <c r="M180">
        <f>YEAR(amazon_store_sales_2022__1[[#This Row],[OrderDate]])</f>
        <v>2022</v>
      </c>
      <c r="N180" t="str" cm="1">
        <f t="array" ref="N180">_xlfn.IFS(L180&lt;500," VeryLow",L180&lt;1000,"Low",L180&lt;2000,"Medium",L180&lt;3000,"High",L180&lt;5000,"VeryHigh")</f>
        <v>Low</v>
      </c>
      <c r="O180" t="str" cm="1">
        <f t="array" ref="O180">_xlfn.IFS(G180&lt;0.09,"Low",G180&lt;0.2,"Medium",G180&lt;0.4,"High")</f>
        <v>Low</v>
      </c>
    </row>
    <row r="181" spans="1:15" x14ac:dyDescent="0.3">
      <c r="A181">
        <v>10180</v>
      </c>
      <c r="B181" s="1">
        <v>44741</v>
      </c>
      <c r="C181">
        <v>2057</v>
      </c>
      <c r="D181" t="s">
        <v>9</v>
      </c>
      <c r="E181">
        <v>6</v>
      </c>
      <c r="F181">
        <v>243.05</v>
      </c>
      <c r="G181">
        <v>0.15</v>
      </c>
      <c r="H181" t="s">
        <v>20</v>
      </c>
      <c r="I181" t="s">
        <v>18</v>
      </c>
      <c r="J181">
        <f>amazon_store_sales_2022__1[[#This Row],[UnitPrice]]*amazon_store_sales_2022__1[[#This Row],[Quantity]]</f>
        <v>1458.3000000000002</v>
      </c>
      <c r="K181">
        <f>amazon_store_sales_2022__1[[#This Row],[Total ]]*amazon_store_sales_2022__1[[#This Row],[Discount]]</f>
        <v>218.74500000000003</v>
      </c>
      <c r="L181" s="13">
        <f>amazon_store_sales_2022__1[[#This Row],[Total ]]-amazon_store_sales_2022__1[[#This Row],[Total Discount]]</f>
        <v>1239.5550000000001</v>
      </c>
      <c r="M181">
        <f>YEAR(amazon_store_sales_2022__1[[#This Row],[OrderDate]])</f>
        <v>2022</v>
      </c>
      <c r="N181" t="str" cm="1">
        <f t="array" ref="N181">_xlfn.IFS(L181&lt;500," VeryLow",L181&lt;1000,"Low",L181&lt;2000,"Medium",L181&lt;3000,"High",L181&lt;5000,"VeryHigh")</f>
        <v>Medium</v>
      </c>
      <c r="O181" t="str" cm="1">
        <f t="array" ref="O181">_xlfn.IFS(G181&lt;0.09,"Low",G181&lt;0.2,"Medium",G181&lt;0.4,"High")</f>
        <v>Medium</v>
      </c>
    </row>
    <row r="182" spans="1:15" x14ac:dyDescent="0.3">
      <c r="A182">
        <v>10181</v>
      </c>
      <c r="B182" s="1">
        <v>44742</v>
      </c>
      <c r="C182">
        <v>2006</v>
      </c>
      <c r="D182" t="s">
        <v>12</v>
      </c>
      <c r="E182">
        <v>1</v>
      </c>
      <c r="F182">
        <v>25.17</v>
      </c>
      <c r="G182">
        <v>0.27</v>
      </c>
      <c r="H182" t="s">
        <v>20</v>
      </c>
      <c r="I182" t="s">
        <v>18</v>
      </c>
      <c r="J182">
        <f>amazon_store_sales_2022__1[[#This Row],[UnitPrice]]*amazon_store_sales_2022__1[[#This Row],[Quantity]]</f>
        <v>25.17</v>
      </c>
      <c r="K182">
        <f>amazon_store_sales_2022__1[[#This Row],[Total ]]*amazon_store_sales_2022__1[[#This Row],[Discount]]</f>
        <v>6.7959000000000005</v>
      </c>
      <c r="L182" s="13">
        <f>amazon_store_sales_2022__1[[#This Row],[Total ]]-amazon_store_sales_2022__1[[#This Row],[Total Discount]]</f>
        <v>18.374100000000002</v>
      </c>
      <c r="M182">
        <f>YEAR(amazon_store_sales_2022__1[[#This Row],[OrderDate]])</f>
        <v>2022</v>
      </c>
      <c r="N182" t="str" cm="1">
        <f t="array" ref="N182">_xlfn.IFS(L182&lt;500," VeryLow",L182&lt;1000,"Low",L182&lt;2000,"Medium",L182&lt;3000,"High",L182&lt;5000,"VeryHigh")</f>
        <v xml:space="preserve"> VeryLow</v>
      </c>
      <c r="O182" t="str" cm="1">
        <f t="array" ref="O182">_xlfn.IFS(G182&lt;0.09,"Low",G182&lt;0.2,"Medium",G182&lt;0.4,"High")</f>
        <v>High</v>
      </c>
    </row>
    <row r="183" spans="1:15" x14ac:dyDescent="0.3">
      <c r="A183">
        <v>10182</v>
      </c>
      <c r="B183" s="1">
        <v>44743</v>
      </c>
      <c r="C183">
        <v>2028</v>
      </c>
      <c r="D183" t="s">
        <v>9</v>
      </c>
      <c r="E183">
        <v>2</v>
      </c>
      <c r="F183">
        <v>86.18</v>
      </c>
      <c r="G183">
        <v>0.23</v>
      </c>
      <c r="H183" t="s">
        <v>10</v>
      </c>
      <c r="I183" t="s">
        <v>18</v>
      </c>
      <c r="J183">
        <f>amazon_store_sales_2022__1[[#This Row],[UnitPrice]]*amazon_store_sales_2022__1[[#This Row],[Quantity]]</f>
        <v>172.36</v>
      </c>
      <c r="K183">
        <f>amazon_store_sales_2022__1[[#This Row],[Total ]]*amazon_store_sales_2022__1[[#This Row],[Discount]]</f>
        <v>39.642800000000008</v>
      </c>
      <c r="L183" s="13">
        <f>amazon_store_sales_2022__1[[#This Row],[Total ]]-amazon_store_sales_2022__1[[#This Row],[Total Discount]]</f>
        <v>132.71719999999999</v>
      </c>
      <c r="M183">
        <f>YEAR(amazon_store_sales_2022__1[[#This Row],[OrderDate]])</f>
        <v>2022</v>
      </c>
      <c r="N183" t="str" cm="1">
        <f t="array" ref="N183">_xlfn.IFS(L183&lt;500," VeryLow",L183&lt;1000,"Low",L183&lt;2000,"Medium",L183&lt;3000,"High",L183&lt;5000,"VeryHigh")</f>
        <v xml:space="preserve"> VeryLow</v>
      </c>
      <c r="O183" t="str" cm="1">
        <f t="array" ref="O183">_xlfn.IFS(G183&lt;0.09,"Low",G183&lt;0.2,"Medium",G183&lt;0.4,"High")</f>
        <v>High</v>
      </c>
    </row>
    <row r="184" spans="1:15" x14ac:dyDescent="0.3">
      <c r="A184">
        <v>10183</v>
      </c>
      <c r="B184" s="1">
        <v>44744</v>
      </c>
      <c r="C184">
        <v>2028</v>
      </c>
      <c r="D184" t="s">
        <v>9</v>
      </c>
      <c r="E184">
        <v>6</v>
      </c>
      <c r="F184">
        <v>222.11</v>
      </c>
      <c r="G184">
        <v>7.0000000000000007E-2</v>
      </c>
      <c r="H184" t="s">
        <v>17</v>
      </c>
      <c r="I184" t="s">
        <v>11</v>
      </c>
      <c r="J184">
        <f>amazon_store_sales_2022__1[[#This Row],[UnitPrice]]*amazon_store_sales_2022__1[[#This Row],[Quantity]]</f>
        <v>1332.66</v>
      </c>
      <c r="K184">
        <f>amazon_store_sales_2022__1[[#This Row],[Total ]]*amazon_store_sales_2022__1[[#This Row],[Discount]]</f>
        <v>93.286200000000008</v>
      </c>
      <c r="L184" s="13">
        <f>amazon_store_sales_2022__1[[#This Row],[Total ]]-amazon_store_sales_2022__1[[#This Row],[Total Discount]]</f>
        <v>1239.3738000000001</v>
      </c>
      <c r="M184">
        <f>YEAR(amazon_store_sales_2022__1[[#This Row],[OrderDate]])</f>
        <v>2022</v>
      </c>
      <c r="N184" t="str" cm="1">
        <f t="array" ref="N184">_xlfn.IFS(L184&lt;500," VeryLow",L184&lt;1000,"Low",L184&lt;2000,"Medium",L184&lt;3000,"High",L184&lt;5000,"VeryHigh")</f>
        <v>Medium</v>
      </c>
      <c r="O184" t="str" cm="1">
        <f t="array" ref="O184">_xlfn.IFS(G184&lt;0.09,"Low",G184&lt;0.2,"Medium",G184&lt;0.4,"High")</f>
        <v>Low</v>
      </c>
    </row>
    <row r="185" spans="1:15" x14ac:dyDescent="0.3">
      <c r="A185">
        <v>10184</v>
      </c>
      <c r="B185" s="1">
        <v>44745</v>
      </c>
      <c r="C185">
        <v>2044</v>
      </c>
      <c r="D185" t="s">
        <v>16</v>
      </c>
      <c r="E185">
        <v>3</v>
      </c>
      <c r="F185">
        <v>363.79</v>
      </c>
      <c r="G185">
        <v>0.28999999999999998</v>
      </c>
      <c r="H185" t="s">
        <v>10</v>
      </c>
      <c r="I185" t="s">
        <v>11</v>
      </c>
      <c r="J185">
        <f>amazon_store_sales_2022__1[[#This Row],[UnitPrice]]*amazon_store_sales_2022__1[[#This Row],[Quantity]]</f>
        <v>1091.3700000000001</v>
      </c>
      <c r="K185">
        <f>amazon_store_sales_2022__1[[#This Row],[Total ]]*amazon_store_sales_2022__1[[#This Row],[Discount]]</f>
        <v>316.4973</v>
      </c>
      <c r="L185" s="13">
        <f>amazon_store_sales_2022__1[[#This Row],[Total ]]-amazon_store_sales_2022__1[[#This Row],[Total Discount]]</f>
        <v>774.87270000000012</v>
      </c>
      <c r="M185">
        <f>YEAR(amazon_store_sales_2022__1[[#This Row],[OrderDate]])</f>
        <v>2022</v>
      </c>
      <c r="N185" t="str" cm="1">
        <f t="array" ref="N185">_xlfn.IFS(L185&lt;500," VeryLow",L185&lt;1000,"Low",L185&lt;2000,"Medium",L185&lt;3000,"High",L185&lt;5000,"VeryHigh")</f>
        <v>Low</v>
      </c>
      <c r="O185" t="str" cm="1">
        <f t="array" ref="O185">_xlfn.IFS(G185&lt;0.09,"Low",G185&lt;0.2,"Medium",G185&lt;0.4,"High")</f>
        <v>High</v>
      </c>
    </row>
    <row r="186" spans="1:15" x14ac:dyDescent="0.3">
      <c r="A186">
        <v>10185</v>
      </c>
      <c r="B186" s="1">
        <v>44746</v>
      </c>
      <c r="C186">
        <v>2084</v>
      </c>
      <c r="D186" t="s">
        <v>19</v>
      </c>
      <c r="E186">
        <v>4</v>
      </c>
      <c r="F186">
        <v>298.67</v>
      </c>
      <c r="G186">
        <v>0.2</v>
      </c>
      <c r="H186" t="s">
        <v>15</v>
      </c>
      <c r="I186" t="s">
        <v>11</v>
      </c>
      <c r="J186">
        <f>amazon_store_sales_2022__1[[#This Row],[UnitPrice]]*amazon_store_sales_2022__1[[#This Row],[Quantity]]</f>
        <v>1194.68</v>
      </c>
      <c r="K186">
        <f>amazon_store_sales_2022__1[[#This Row],[Total ]]*amazon_store_sales_2022__1[[#This Row],[Discount]]</f>
        <v>238.93600000000004</v>
      </c>
      <c r="L186" s="13">
        <f>amazon_store_sales_2022__1[[#This Row],[Total ]]-amazon_store_sales_2022__1[[#This Row],[Total Discount]]</f>
        <v>955.74400000000003</v>
      </c>
      <c r="M186">
        <f>YEAR(amazon_store_sales_2022__1[[#This Row],[OrderDate]])</f>
        <v>2022</v>
      </c>
      <c r="N186" t="str" cm="1">
        <f t="array" ref="N186">_xlfn.IFS(L186&lt;500," VeryLow",L186&lt;1000,"Low",L186&lt;2000,"Medium",L186&lt;3000,"High",L186&lt;5000,"VeryHigh")</f>
        <v>Low</v>
      </c>
      <c r="O186" t="str" cm="1">
        <f t="array" ref="O186">_xlfn.IFS(G186&lt;0.09,"Low",G186&lt;0.2,"Medium",G186&lt;0.4,"High")</f>
        <v>High</v>
      </c>
    </row>
    <row r="187" spans="1:15" x14ac:dyDescent="0.3">
      <c r="A187">
        <v>10186</v>
      </c>
      <c r="B187" s="1">
        <v>44747</v>
      </c>
      <c r="C187">
        <v>2030</v>
      </c>
      <c r="D187" t="s">
        <v>19</v>
      </c>
      <c r="E187">
        <v>1</v>
      </c>
      <c r="F187">
        <v>326.89999999999998</v>
      </c>
      <c r="G187">
        <v>0</v>
      </c>
      <c r="H187" t="s">
        <v>10</v>
      </c>
      <c r="I187" t="s">
        <v>18</v>
      </c>
      <c r="J187">
        <f>amazon_store_sales_2022__1[[#This Row],[UnitPrice]]*amazon_store_sales_2022__1[[#This Row],[Quantity]]</f>
        <v>326.89999999999998</v>
      </c>
      <c r="K187">
        <f>amazon_store_sales_2022__1[[#This Row],[Total ]]*amazon_store_sales_2022__1[[#This Row],[Discount]]</f>
        <v>0</v>
      </c>
      <c r="L187" s="13">
        <f>amazon_store_sales_2022__1[[#This Row],[Total ]]-amazon_store_sales_2022__1[[#This Row],[Total Discount]]</f>
        <v>326.89999999999998</v>
      </c>
      <c r="M187">
        <f>YEAR(amazon_store_sales_2022__1[[#This Row],[OrderDate]])</f>
        <v>2022</v>
      </c>
      <c r="N187" t="str" cm="1">
        <f t="array" ref="N187">_xlfn.IFS(L187&lt;500," VeryLow",L187&lt;1000,"Low",L187&lt;2000,"Medium",L187&lt;3000,"High",L187&lt;5000,"VeryHigh")</f>
        <v xml:space="preserve"> VeryLow</v>
      </c>
      <c r="O187" t="str" cm="1">
        <f t="array" ref="O187">_xlfn.IFS(G187&lt;0.09,"Low",G187&lt;0.2,"Medium",G187&lt;0.4,"High")</f>
        <v>Low</v>
      </c>
    </row>
    <row r="188" spans="1:15" x14ac:dyDescent="0.3">
      <c r="A188">
        <v>10187</v>
      </c>
      <c r="B188" s="1">
        <v>44748</v>
      </c>
      <c r="C188">
        <v>2062</v>
      </c>
      <c r="D188" t="s">
        <v>14</v>
      </c>
      <c r="E188">
        <v>8</v>
      </c>
      <c r="F188">
        <v>242.24</v>
      </c>
      <c r="G188">
        <v>0.08</v>
      </c>
      <c r="H188" t="s">
        <v>17</v>
      </c>
      <c r="I188" t="s">
        <v>11</v>
      </c>
      <c r="J188">
        <f>amazon_store_sales_2022__1[[#This Row],[UnitPrice]]*amazon_store_sales_2022__1[[#This Row],[Quantity]]</f>
        <v>1937.92</v>
      </c>
      <c r="K188">
        <f>amazon_store_sales_2022__1[[#This Row],[Total ]]*amazon_store_sales_2022__1[[#This Row],[Discount]]</f>
        <v>155.03360000000001</v>
      </c>
      <c r="L188" s="13">
        <f>amazon_store_sales_2022__1[[#This Row],[Total ]]-amazon_store_sales_2022__1[[#This Row],[Total Discount]]</f>
        <v>1782.8864000000001</v>
      </c>
      <c r="M188">
        <f>YEAR(amazon_store_sales_2022__1[[#This Row],[OrderDate]])</f>
        <v>2022</v>
      </c>
      <c r="N188" t="str" cm="1">
        <f t="array" ref="N188">_xlfn.IFS(L188&lt;500," VeryLow",L188&lt;1000,"Low",L188&lt;2000,"Medium",L188&lt;3000,"High",L188&lt;5000,"VeryHigh")</f>
        <v>Medium</v>
      </c>
      <c r="O188" t="str" cm="1">
        <f t="array" ref="O188">_xlfn.IFS(G188&lt;0.09,"Low",G188&lt;0.2,"Medium",G188&lt;0.4,"High")</f>
        <v>Low</v>
      </c>
    </row>
    <row r="189" spans="1:15" x14ac:dyDescent="0.3">
      <c r="A189">
        <v>10188</v>
      </c>
      <c r="B189" s="1">
        <v>44749</v>
      </c>
      <c r="C189">
        <v>2075</v>
      </c>
      <c r="D189" t="s">
        <v>16</v>
      </c>
      <c r="E189">
        <v>7</v>
      </c>
      <c r="F189">
        <v>309.79000000000002</v>
      </c>
      <c r="G189">
        <v>0.08</v>
      </c>
      <c r="H189" t="s">
        <v>15</v>
      </c>
      <c r="I189" t="s">
        <v>18</v>
      </c>
      <c r="J189">
        <f>amazon_store_sales_2022__1[[#This Row],[UnitPrice]]*amazon_store_sales_2022__1[[#This Row],[Quantity]]</f>
        <v>2168.5300000000002</v>
      </c>
      <c r="K189">
        <f>amazon_store_sales_2022__1[[#This Row],[Total ]]*amazon_store_sales_2022__1[[#This Row],[Discount]]</f>
        <v>173.48240000000001</v>
      </c>
      <c r="L189" s="13">
        <f>amazon_store_sales_2022__1[[#This Row],[Total ]]-amazon_store_sales_2022__1[[#This Row],[Total Discount]]</f>
        <v>1995.0476000000001</v>
      </c>
      <c r="M189">
        <f>YEAR(amazon_store_sales_2022__1[[#This Row],[OrderDate]])</f>
        <v>2022</v>
      </c>
      <c r="N189" t="str" cm="1">
        <f t="array" ref="N189">_xlfn.IFS(L189&lt;500," VeryLow",L189&lt;1000,"Low",L189&lt;2000,"Medium",L189&lt;3000,"High",L189&lt;5000,"VeryHigh")</f>
        <v>Medium</v>
      </c>
      <c r="O189" t="str" cm="1">
        <f t="array" ref="O189">_xlfn.IFS(G189&lt;0.09,"Low",G189&lt;0.2,"Medium",G189&lt;0.4,"High")</f>
        <v>Low</v>
      </c>
    </row>
    <row r="190" spans="1:15" x14ac:dyDescent="0.3">
      <c r="A190">
        <v>10189</v>
      </c>
      <c r="B190" s="1">
        <v>44750</v>
      </c>
      <c r="C190">
        <v>2092</v>
      </c>
      <c r="D190" t="s">
        <v>9</v>
      </c>
      <c r="E190">
        <v>7</v>
      </c>
      <c r="F190">
        <v>167.86</v>
      </c>
      <c r="G190">
        <v>0.02</v>
      </c>
      <c r="H190" t="s">
        <v>13</v>
      </c>
      <c r="I190" t="s">
        <v>18</v>
      </c>
      <c r="J190">
        <f>amazon_store_sales_2022__1[[#This Row],[UnitPrice]]*amazon_store_sales_2022__1[[#This Row],[Quantity]]</f>
        <v>1175.02</v>
      </c>
      <c r="K190">
        <f>amazon_store_sales_2022__1[[#This Row],[Total ]]*amazon_store_sales_2022__1[[#This Row],[Discount]]</f>
        <v>23.500399999999999</v>
      </c>
      <c r="L190" s="13">
        <f>amazon_store_sales_2022__1[[#This Row],[Total ]]-amazon_store_sales_2022__1[[#This Row],[Total Discount]]</f>
        <v>1151.5196000000001</v>
      </c>
      <c r="M190">
        <f>YEAR(amazon_store_sales_2022__1[[#This Row],[OrderDate]])</f>
        <v>2022</v>
      </c>
      <c r="N190" t="str" cm="1">
        <f t="array" ref="N190">_xlfn.IFS(L190&lt;500," VeryLow",L190&lt;1000,"Low",L190&lt;2000,"Medium",L190&lt;3000,"High",L190&lt;5000,"VeryHigh")</f>
        <v>Medium</v>
      </c>
      <c r="O190" t="str" cm="1">
        <f t="array" ref="O190">_xlfn.IFS(G190&lt;0.09,"Low",G190&lt;0.2,"Medium",G190&lt;0.4,"High")</f>
        <v>Low</v>
      </c>
    </row>
    <row r="191" spans="1:15" x14ac:dyDescent="0.3">
      <c r="A191">
        <v>10190</v>
      </c>
      <c r="B191" s="1">
        <v>44751</v>
      </c>
      <c r="C191">
        <v>2089</v>
      </c>
      <c r="D191" t="s">
        <v>19</v>
      </c>
      <c r="E191">
        <v>3</v>
      </c>
      <c r="F191">
        <v>237.74</v>
      </c>
      <c r="G191">
        <v>0.28999999999999998</v>
      </c>
      <c r="H191" t="s">
        <v>13</v>
      </c>
      <c r="I191" t="s">
        <v>18</v>
      </c>
      <c r="J191">
        <f>amazon_store_sales_2022__1[[#This Row],[UnitPrice]]*amazon_store_sales_2022__1[[#This Row],[Quantity]]</f>
        <v>713.22</v>
      </c>
      <c r="K191">
        <f>amazon_store_sales_2022__1[[#This Row],[Total ]]*amazon_store_sales_2022__1[[#This Row],[Discount]]</f>
        <v>206.8338</v>
      </c>
      <c r="L191" s="13">
        <f>amazon_store_sales_2022__1[[#This Row],[Total ]]-amazon_store_sales_2022__1[[#This Row],[Total Discount]]</f>
        <v>506.38620000000003</v>
      </c>
      <c r="M191">
        <f>YEAR(amazon_store_sales_2022__1[[#This Row],[OrderDate]])</f>
        <v>2022</v>
      </c>
      <c r="N191" t="str" cm="1">
        <f t="array" ref="N191">_xlfn.IFS(L191&lt;500," VeryLow",L191&lt;1000,"Low",L191&lt;2000,"Medium",L191&lt;3000,"High",L191&lt;5000,"VeryHigh")</f>
        <v>Low</v>
      </c>
      <c r="O191" t="str" cm="1">
        <f t="array" ref="O191">_xlfn.IFS(G191&lt;0.09,"Low",G191&lt;0.2,"Medium",G191&lt;0.4,"High")</f>
        <v>High</v>
      </c>
    </row>
    <row r="192" spans="1:15" x14ac:dyDescent="0.3">
      <c r="A192">
        <v>10191</v>
      </c>
      <c r="B192" s="1">
        <v>44752</v>
      </c>
      <c r="C192">
        <v>2062</v>
      </c>
      <c r="D192" t="s">
        <v>9</v>
      </c>
      <c r="E192">
        <v>3</v>
      </c>
      <c r="F192">
        <v>373.42</v>
      </c>
      <c r="G192">
        <v>0.14000000000000001</v>
      </c>
      <c r="H192" t="s">
        <v>17</v>
      </c>
      <c r="I192" t="s">
        <v>18</v>
      </c>
      <c r="J192">
        <f>amazon_store_sales_2022__1[[#This Row],[UnitPrice]]*amazon_store_sales_2022__1[[#This Row],[Quantity]]</f>
        <v>1120.26</v>
      </c>
      <c r="K192">
        <f>amazon_store_sales_2022__1[[#This Row],[Total ]]*amazon_store_sales_2022__1[[#This Row],[Discount]]</f>
        <v>156.83640000000003</v>
      </c>
      <c r="L192" s="13">
        <f>amazon_store_sales_2022__1[[#This Row],[Total ]]-amazon_store_sales_2022__1[[#This Row],[Total Discount]]</f>
        <v>963.42359999999996</v>
      </c>
      <c r="M192">
        <f>YEAR(amazon_store_sales_2022__1[[#This Row],[OrderDate]])</f>
        <v>2022</v>
      </c>
      <c r="N192" t="str" cm="1">
        <f t="array" ref="N192">_xlfn.IFS(L192&lt;500," VeryLow",L192&lt;1000,"Low",L192&lt;2000,"Medium",L192&lt;3000,"High",L192&lt;5000,"VeryHigh")</f>
        <v>Low</v>
      </c>
      <c r="O192" t="str" cm="1">
        <f t="array" ref="O192">_xlfn.IFS(G192&lt;0.09,"Low",G192&lt;0.2,"Medium",G192&lt;0.4,"High")</f>
        <v>Medium</v>
      </c>
    </row>
    <row r="193" spans="1:15" x14ac:dyDescent="0.3">
      <c r="A193">
        <v>10192</v>
      </c>
      <c r="B193" s="1">
        <v>44753</v>
      </c>
      <c r="C193">
        <v>2097</v>
      </c>
      <c r="D193" t="s">
        <v>19</v>
      </c>
      <c r="E193">
        <v>2</v>
      </c>
      <c r="F193">
        <v>436.56</v>
      </c>
      <c r="G193">
        <v>0.27</v>
      </c>
      <c r="H193" t="s">
        <v>10</v>
      </c>
      <c r="I193" t="s">
        <v>18</v>
      </c>
      <c r="J193">
        <f>amazon_store_sales_2022__1[[#This Row],[UnitPrice]]*amazon_store_sales_2022__1[[#This Row],[Quantity]]</f>
        <v>873.12</v>
      </c>
      <c r="K193">
        <f>amazon_store_sales_2022__1[[#This Row],[Total ]]*amazon_store_sales_2022__1[[#This Row],[Discount]]</f>
        <v>235.7424</v>
      </c>
      <c r="L193" s="13">
        <f>amazon_store_sales_2022__1[[#This Row],[Total ]]-amazon_store_sales_2022__1[[#This Row],[Total Discount]]</f>
        <v>637.37760000000003</v>
      </c>
      <c r="M193">
        <f>YEAR(amazon_store_sales_2022__1[[#This Row],[OrderDate]])</f>
        <v>2022</v>
      </c>
      <c r="N193" t="str" cm="1">
        <f t="array" ref="N193">_xlfn.IFS(L193&lt;500," VeryLow",L193&lt;1000,"Low",L193&lt;2000,"Medium",L193&lt;3000,"High",L193&lt;5000,"VeryHigh")</f>
        <v>Low</v>
      </c>
      <c r="O193" t="str" cm="1">
        <f t="array" ref="O193">_xlfn.IFS(G193&lt;0.09,"Low",G193&lt;0.2,"Medium",G193&lt;0.4,"High")</f>
        <v>High</v>
      </c>
    </row>
    <row r="194" spans="1:15" x14ac:dyDescent="0.3">
      <c r="A194">
        <v>10193</v>
      </c>
      <c r="B194" s="1">
        <v>44754</v>
      </c>
      <c r="C194">
        <v>2001</v>
      </c>
      <c r="D194" t="s">
        <v>19</v>
      </c>
      <c r="E194">
        <v>1</v>
      </c>
      <c r="F194">
        <v>219.66</v>
      </c>
      <c r="G194">
        <v>0.1</v>
      </c>
      <c r="H194" t="s">
        <v>20</v>
      </c>
      <c r="I194" t="s">
        <v>11</v>
      </c>
      <c r="J194">
        <f>amazon_store_sales_2022__1[[#This Row],[UnitPrice]]*amazon_store_sales_2022__1[[#This Row],[Quantity]]</f>
        <v>219.66</v>
      </c>
      <c r="K194">
        <f>amazon_store_sales_2022__1[[#This Row],[Total ]]*amazon_store_sales_2022__1[[#This Row],[Discount]]</f>
        <v>21.966000000000001</v>
      </c>
      <c r="L194" s="13">
        <f>amazon_store_sales_2022__1[[#This Row],[Total ]]-amazon_store_sales_2022__1[[#This Row],[Total Discount]]</f>
        <v>197.69399999999999</v>
      </c>
      <c r="M194">
        <f>YEAR(amazon_store_sales_2022__1[[#This Row],[OrderDate]])</f>
        <v>2022</v>
      </c>
      <c r="N194" t="str" cm="1">
        <f t="array" ref="N194">_xlfn.IFS(L194&lt;500," VeryLow",L194&lt;1000,"Low",L194&lt;2000,"Medium",L194&lt;3000,"High",L194&lt;5000,"VeryHigh")</f>
        <v xml:space="preserve"> VeryLow</v>
      </c>
      <c r="O194" t="str" cm="1">
        <f t="array" ref="O194">_xlfn.IFS(G194&lt;0.09,"Low",G194&lt;0.2,"Medium",G194&lt;0.4,"High")</f>
        <v>Medium</v>
      </c>
    </row>
    <row r="195" spans="1:15" x14ac:dyDescent="0.3">
      <c r="A195">
        <v>10194</v>
      </c>
      <c r="B195" s="1">
        <v>44755</v>
      </c>
      <c r="C195">
        <v>2027</v>
      </c>
      <c r="D195" t="s">
        <v>19</v>
      </c>
      <c r="E195">
        <v>7</v>
      </c>
      <c r="F195">
        <v>26.61</v>
      </c>
      <c r="G195">
        <v>0.04</v>
      </c>
      <c r="H195" t="s">
        <v>17</v>
      </c>
      <c r="I195" t="s">
        <v>11</v>
      </c>
      <c r="J195">
        <f>amazon_store_sales_2022__1[[#This Row],[UnitPrice]]*amazon_store_sales_2022__1[[#This Row],[Quantity]]</f>
        <v>186.26999999999998</v>
      </c>
      <c r="K195">
        <f>amazon_store_sales_2022__1[[#This Row],[Total ]]*amazon_store_sales_2022__1[[#This Row],[Discount]]</f>
        <v>7.4507999999999992</v>
      </c>
      <c r="L195" s="13">
        <f>amazon_store_sales_2022__1[[#This Row],[Total ]]-amazon_store_sales_2022__1[[#This Row],[Total Discount]]</f>
        <v>178.8192</v>
      </c>
      <c r="M195">
        <f>YEAR(amazon_store_sales_2022__1[[#This Row],[OrderDate]])</f>
        <v>2022</v>
      </c>
      <c r="N195" t="str" cm="1">
        <f t="array" ref="N195">_xlfn.IFS(L195&lt;500," VeryLow",L195&lt;1000,"Low",L195&lt;2000,"Medium",L195&lt;3000,"High",L195&lt;5000,"VeryHigh")</f>
        <v xml:space="preserve"> VeryLow</v>
      </c>
      <c r="O195" t="str" cm="1">
        <f t="array" ref="O195">_xlfn.IFS(G195&lt;0.09,"Low",G195&lt;0.2,"Medium",G195&lt;0.4,"High")</f>
        <v>Low</v>
      </c>
    </row>
    <row r="196" spans="1:15" x14ac:dyDescent="0.3">
      <c r="A196">
        <v>10195</v>
      </c>
      <c r="B196" s="1">
        <v>44756</v>
      </c>
      <c r="C196">
        <v>2062</v>
      </c>
      <c r="D196" t="s">
        <v>16</v>
      </c>
      <c r="E196">
        <v>7</v>
      </c>
      <c r="F196">
        <v>85.03</v>
      </c>
      <c r="G196">
        <v>0.14000000000000001</v>
      </c>
      <c r="H196" t="s">
        <v>15</v>
      </c>
      <c r="I196" t="s">
        <v>18</v>
      </c>
      <c r="J196">
        <f>amazon_store_sales_2022__1[[#This Row],[UnitPrice]]*amazon_store_sales_2022__1[[#This Row],[Quantity]]</f>
        <v>595.21</v>
      </c>
      <c r="K196">
        <f>amazon_store_sales_2022__1[[#This Row],[Total ]]*amazon_store_sales_2022__1[[#This Row],[Discount]]</f>
        <v>83.329400000000007</v>
      </c>
      <c r="L196" s="13">
        <f>amazon_store_sales_2022__1[[#This Row],[Total ]]-amazon_store_sales_2022__1[[#This Row],[Total Discount]]</f>
        <v>511.88060000000002</v>
      </c>
      <c r="M196">
        <f>YEAR(amazon_store_sales_2022__1[[#This Row],[OrderDate]])</f>
        <v>2022</v>
      </c>
      <c r="N196" t="str" cm="1">
        <f t="array" ref="N196">_xlfn.IFS(L196&lt;500," VeryLow",L196&lt;1000,"Low",L196&lt;2000,"Medium",L196&lt;3000,"High",L196&lt;5000,"VeryHigh")</f>
        <v>Low</v>
      </c>
      <c r="O196" t="str" cm="1">
        <f t="array" ref="O196">_xlfn.IFS(G196&lt;0.09,"Low",G196&lt;0.2,"Medium",G196&lt;0.4,"High")</f>
        <v>Medium</v>
      </c>
    </row>
    <row r="197" spans="1:15" x14ac:dyDescent="0.3">
      <c r="A197">
        <v>10196</v>
      </c>
      <c r="B197" s="1">
        <v>44757</v>
      </c>
      <c r="C197">
        <v>2077</v>
      </c>
      <c r="D197" t="s">
        <v>12</v>
      </c>
      <c r="E197">
        <v>2</v>
      </c>
      <c r="F197">
        <v>15.33</v>
      </c>
      <c r="G197">
        <v>0.03</v>
      </c>
      <c r="H197" t="s">
        <v>15</v>
      </c>
      <c r="I197" t="s">
        <v>11</v>
      </c>
      <c r="J197">
        <f>amazon_store_sales_2022__1[[#This Row],[UnitPrice]]*amazon_store_sales_2022__1[[#This Row],[Quantity]]</f>
        <v>30.66</v>
      </c>
      <c r="K197">
        <f>amazon_store_sales_2022__1[[#This Row],[Total ]]*amazon_store_sales_2022__1[[#This Row],[Discount]]</f>
        <v>0.91979999999999995</v>
      </c>
      <c r="L197" s="13">
        <f>amazon_store_sales_2022__1[[#This Row],[Total ]]-amazon_store_sales_2022__1[[#This Row],[Total Discount]]</f>
        <v>29.740200000000002</v>
      </c>
      <c r="M197">
        <f>YEAR(amazon_store_sales_2022__1[[#This Row],[OrderDate]])</f>
        <v>2022</v>
      </c>
      <c r="N197" t="str" cm="1">
        <f t="array" ref="N197">_xlfn.IFS(L197&lt;500," VeryLow",L197&lt;1000,"Low",L197&lt;2000,"Medium",L197&lt;3000,"High",L197&lt;5000,"VeryHigh")</f>
        <v xml:space="preserve"> VeryLow</v>
      </c>
      <c r="O197" t="str" cm="1">
        <f t="array" ref="O197">_xlfn.IFS(G197&lt;0.09,"Low",G197&lt;0.2,"Medium",G197&lt;0.4,"High")</f>
        <v>Low</v>
      </c>
    </row>
    <row r="198" spans="1:15" x14ac:dyDescent="0.3">
      <c r="A198">
        <v>10197</v>
      </c>
      <c r="B198" s="1">
        <v>44758</v>
      </c>
      <c r="C198">
        <v>2003</v>
      </c>
      <c r="D198" t="s">
        <v>9</v>
      </c>
      <c r="E198">
        <v>7</v>
      </c>
      <c r="F198">
        <v>328.37</v>
      </c>
      <c r="G198">
        <v>0.15</v>
      </c>
      <c r="H198" t="s">
        <v>13</v>
      </c>
      <c r="I198" t="s">
        <v>18</v>
      </c>
      <c r="J198">
        <f>amazon_store_sales_2022__1[[#This Row],[UnitPrice]]*amazon_store_sales_2022__1[[#This Row],[Quantity]]</f>
        <v>2298.59</v>
      </c>
      <c r="K198">
        <f>amazon_store_sales_2022__1[[#This Row],[Total ]]*amazon_store_sales_2022__1[[#This Row],[Discount]]</f>
        <v>344.7885</v>
      </c>
      <c r="L198" s="13">
        <f>amazon_store_sales_2022__1[[#This Row],[Total ]]-amazon_store_sales_2022__1[[#This Row],[Total Discount]]</f>
        <v>1953.8015</v>
      </c>
      <c r="M198">
        <f>YEAR(amazon_store_sales_2022__1[[#This Row],[OrderDate]])</f>
        <v>2022</v>
      </c>
      <c r="N198" t="str" cm="1">
        <f t="array" ref="N198">_xlfn.IFS(L198&lt;500," VeryLow",L198&lt;1000,"Low",L198&lt;2000,"Medium",L198&lt;3000,"High",L198&lt;5000,"VeryHigh")</f>
        <v>Medium</v>
      </c>
      <c r="O198" t="str" cm="1">
        <f t="array" ref="O198">_xlfn.IFS(G198&lt;0.09,"Low",G198&lt;0.2,"Medium",G198&lt;0.4,"High")</f>
        <v>Medium</v>
      </c>
    </row>
    <row r="199" spans="1:15" x14ac:dyDescent="0.3">
      <c r="A199">
        <v>10198</v>
      </c>
      <c r="B199" s="1">
        <v>44759</v>
      </c>
      <c r="C199">
        <v>2070</v>
      </c>
      <c r="D199" t="s">
        <v>16</v>
      </c>
      <c r="E199">
        <v>8</v>
      </c>
      <c r="F199">
        <v>169.5</v>
      </c>
      <c r="G199">
        <v>0.28000000000000003</v>
      </c>
      <c r="H199" t="s">
        <v>15</v>
      </c>
      <c r="I199" t="s">
        <v>18</v>
      </c>
      <c r="J199">
        <f>amazon_store_sales_2022__1[[#This Row],[UnitPrice]]*amazon_store_sales_2022__1[[#This Row],[Quantity]]</f>
        <v>1356</v>
      </c>
      <c r="K199">
        <f>amazon_store_sales_2022__1[[#This Row],[Total ]]*amazon_store_sales_2022__1[[#This Row],[Discount]]</f>
        <v>379.68000000000006</v>
      </c>
      <c r="L199" s="13">
        <f>amazon_store_sales_2022__1[[#This Row],[Total ]]-amazon_store_sales_2022__1[[#This Row],[Total Discount]]</f>
        <v>976.31999999999994</v>
      </c>
      <c r="M199">
        <f>YEAR(amazon_store_sales_2022__1[[#This Row],[OrderDate]])</f>
        <v>2022</v>
      </c>
      <c r="N199" t="str" cm="1">
        <f t="array" ref="N199">_xlfn.IFS(L199&lt;500," VeryLow",L199&lt;1000,"Low",L199&lt;2000,"Medium",L199&lt;3000,"High",L199&lt;5000,"VeryHigh")</f>
        <v>Low</v>
      </c>
      <c r="O199" t="str" cm="1">
        <f t="array" ref="O199">_xlfn.IFS(G199&lt;0.09,"Low",G199&lt;0.2,"Medium",G199&lt;0.4,"High")</f>
        <v>High</v>
      </c>
    </row>
    <row r="200" spans="1:15" x14ac:dyDescent="0.3">
      <c r="A200">
        <v>10199</v>
      </c>
      <c r="B200" s="1">
        <v>44760</v>
      </c>
      <c r="C200">
        <v>2072</v>
      </c>
      <c r="D200" t="s">
        <v>16</v>
      </c>
      <c r="E200">
        <v>1</v>
      </c>
      <c r="F200">
        <v>273.52999999999997</v>
      </c>
      <c r="G200">
        <v>0.16</v>
      </c>
      <c r="H200" t="s">
        <v>17</v>
      </c>
      <c r="I200" t="s">
        <v>18</v>
      </c>
      <c r="J200">
        <f>amazon_store_sales_2022__1[[#This Row],[UnitPrice]]*amazon_store_sales_2022__1[[#This Row],[Quantity]]</f>
        <v>273.52999999999997</v>
      </c>
      <c r="K200">
        <f>amazon_store_sales_2022__1[[#This Row],[Total ]]*amazon_store_sales_2022__1[[#This Row],[Discount]]</f>
        <v>43.764799999999994</v>
      </c>
      <c r="L200" s="13">
        <f>amazon_store_sales_2022__1[[#This Row],[Total ]]-amazon_store_sales_2022__1[[#This Row],[Total Discount]]</f>
        <v>229.76519999999999</v>
      </c>
      <c r="M200">
        <f>YEAR(amazon_store_sales_2022__1[[#This Row],[OrderDate]])</f>
        <v>2022</v>
      </c>
      <c r="N200" t="str" cm="1">
        <f t="array" ref="N200">_xlfn.IFS(L200&lt;500," VeryLow",L200&lt;1000,"Low",L200&lt;2000,"Medium",L200&lt;3000,"High",L200&lt;5000,"VeryHigh")</f>
        <v xml:space="preserve"> VeryLow</v>
      </c>
      <c r="O200" t="str" cm="1">
        <f t="array" ref="O200">_xlfn.IFS(G200&lt;0.09,"Low",G200&lt;0.2,"Medium",G200&lt;0.4,"High")</f>
        <v>Medium</v>
      </c>
    </row>
    <row r="201" spans="1:15" x14ac:dyDescent="0.3">
      <c r="A201">
        <v>10200</v>
      </c>
      <c r="B201" s="1">
        <v>44761</v>
      </c>
      <c r="C201">
        <v>2027</v>
      </c>
      <c r="D201" t="s">
        <v>16</v>
      </c>
      <c r="E201">
        <v>9</v>
      </c>
      <c r="F201">
        <v>249.17</v>
      </c>
      <c r="G201">
        <v>0.18</v>
      </c>
      <c r="H201" t="s">
        <v>15</v>
      </c>
      <c r="I201" t="s">
        <v>11</v>
      </c>
      <c r="J201">
        <f>amazon_store_sales_2022__1[[#This Row],[UnitPrice]]*amazon_store_sales_2022__1[[#This Row],[Quantity]]</f>
        <v>2242.5299999999997</v>
      </c>
      <c r="K201">
        <f>amazon_store_sales_2022__1[[#This Row],[Total ]]*amazon_store_sales_2022__1[[#This Row],[Discount]]</f>
        <v>403.65539999999993</v>
      </c>
      <c r="L201" s="13">
        <f>amazon_store_sales_2022__1[[#This Row],[Total ]]-amazon_store_sales_2022__1[[#This Row],[Total Discount]]</f>
        <v>1838.8745999999999</v>
      </c>
      <c r="M201">
        <f>YEAR(amazon_store_sales_2022__1[[#This Row],[OrderDate]])</f>
        <v>2022</v>
      </c>
      <c r="N201" t="str" cm="1">
        <f t="array" ref="N201">_xlfn.IFS(L201&lt;500," VeryLow",L201&lt;1000,"Low",L201&lt;2000,"Medium",L201&lt;3000,"High",L201&lt;5000,"VeryHigh")</f>
        <v>Medium</v>
      </c>
      <c r="O201" t="str" cm="1">
        <f t="array" ref="O201">_xlfn.IFS(G201&lt;0.09,"Low",G201&lt;0.2,"Medium",G201&lt;0.4,"High")</f>
        <v>Medium</v>
      </c>
    </row>
    <row r="202" spans="1:15" x14ac:dyDescent="0.3">
      <c r="A202">
        <v>10201</v>
      </c>
      <c r="B202" s="1">
        <v>44762</v>
      </c>
      <c r="C202">
        <v>2009</v>
      </c>
      <c r="D202" t="s">
        <v>16</v>
      </c>
      <c r="E202">
        <v>7</v>
      </c>
      <c r="F202">
        <v>45.36</v>
      </c>
      <c r="G202">
        <v>0.05</v>
      </c>
      <c r="H202" t="s">
        <v>17</v>
      </c>
      <c r="I202" t="s">
        <v>18</v>
      </c>
      <c r="J202">
        <f>amazon_store_sales_2022__1[[#This Row],[UnitPrice]]*amazon_store_sales_2022__1[[#This Row],[Quantity]]</f>
        <v>317.52</v>
      </c>
      <c r="K202">
        <f>amazon_store_sales_2022__1[[#This Row],[Total ]]*amazon_store_sales_2022__1[[#This Row],[Discount]]</f>
        <v>15.875999999999999</v>
      </c>
      <c r="L202" s="13">
        <f>amazon_store_sales_2022__1[[#This Row],[Total ]]-amazon_store_sales_2022__1[[#This Row],[Total Discount]]</f>
        <v>301.64400000000001</v>
      </c>
      <c r="M202">
        <f>YEAR(amazon_store_sales_2022__1[[#This Row],[OrderDate]])</f>
        <v>2022</v>
      </c>
      <c r="N202" t="str" cm="1">
        <f t="array" ref="N202">_xlfn.IFS(L202&lt;500," VeryLow",L202&lt;1000,"Low",L202&lt;2000,"Medium",L202&lt;3000,"High",L202&lt;5000,"VeryHigh")</f>
        <v xml:space="preserve"> VeryLow</v>
      </c>
      <c r="O202" t="str" cm="1">
        <f t="array" ref="O202">_xlfn.IFS(G202&lt;0.09,"Low",G202&lt;0.2,"Medium",G202&lt;0.4,"High")</f>
        <v>Low</v>
      </c>
    </row>
    <row r="203" spans="1:15" x14ac:dyDescent="0.3">
      <c r="A203">
        <v>10202</v>
      </c>
      <c r="B203" s="1">
        <v>44763</v>
      </c>
      <c r="C203">
        <v>2062</v>
      </c>
      <c r="D203" t="s">
        <v>16</v>
      </c>
      <c r="E203">
        <v>3</v>
      </c>
      <c r="F203">
        <v>204.61</v>
      </c>
      <c r="G203">
        <v>0.01</v>
      </c>
      <c r="H203" t="s">
        <v>20</v>
      </c>
      <c r="I203" t="s">
        <v>18</v>
      </c>
      <c r="J203">
        <f>amazon_store_sales_2022__1[[#This Row],[UnitPrice]]*amazon_store_sales_2022__1[[#This Row],[Quantity]]</f>
        <v>613.83000000000004</v>
      </c>
      <c r="K203">
        <f>amazon_store_sales_2022__1[[#This Row],[Total ]]*amazon_store_sales_2022__1[[#This Row],[Discount]]</f>
        <v>6.138300000000001</v>
      </c>
      <c r="L203" s="13">
        <f>amazon_store_sales_2022__1[[#This Row],[Total ]]-amazon_store_sales_2022__1[[#This Row],[Total Discount]]</f>
        <v>607.69170000000008</v>
      </c>
      <c r="M203">
        <f>YEAR(amazon_store_sales_2022__1[[#This Row],[OrderDate]])</f>
        <v>2022</v>
      </c>
      <c r="N203" t="str" cm="1">
        <f t="array" ref="N203">_xlfn.IFS(L203&lt;500," VeryLow",L203&lt;1000,"Low",L203&lt;2000,"Medium",L203&lt;3000,"High",L203&lt;5000,"VeryHigh")</f>
        <v>Low</v>
      </c>
      <c r="O203" t="str" cm="1">
        <f t="array" ref="O203">_xlfn.IFS(G203&lt;0.09,"Low",G203&lt;0.2,"Medium",G203&lt;0.4,"High")</f>
        <v>Low</v>
      </c>
    </row>
    <row r="204" spans="1:15" x14ac:dyDescent="0.3">
      <c r="A204">
        <v>10203</v>
      </c>
      <c r="B204" s="1">
        <v>44764</v>
      </c>
      <c r="C204">
        <v>2037</v>
      </c>
      <c r="D204" t="s">
        <v>14</v>
      </c>
      <c r="E204">
        <v>8</v>
      </c>
      <c r="F204">
        <v>114.18</v>
      </c>
      <c r="G204">
        <v>0.03</v>
      </c>
      <c r="H204" t="s">
        <v>13</v>
      </c>
      <c r="I204" t="s">
        <v>11</v>
      </c>
      <c r="J204">
        <f>amazon_store_sales_2022__1[[#This Row],[UnitPrice]]*amazon_store_sales_2022__1[[#This Row],[Quantity]]</f>
        <v>913.44</v>
      </c>
      <c r="K204">
        <f>amazon_store_sales_2022__1[[#This Row],[Total ]]*amazon_store_sales_2022__1[[#This Row],[Discount]]</f>
        <v>27.403200000000002</v>
      </c>
      <c r="L204" s="13">
        <f>amazon_store_sales_2022__1[[#This Row],[Total ]]-amazon_store_sales_2022__1[[#This Row],[Total Discount]]</f>
        <v>886.03680000000008</v>
      </c>
      <c r="M204">
        <f>YEAR(amazon_store_sales_2022__1[[#This Row],[OrderDate]])</f>
        <v>2022</v>
      </c>
      <c r="N204" t="str" cm="1">
        <f t="array" ref="N204">_xlfn.IFS(L204&lt;500," VeryLow",L204&lt;1000,"Low",L204&lt;2000,"Medium",L204&lt;3000,"High",L204&lt;5000,"VeryHigh")</f>
        <v>Low</v>
      </c>
      <c r="O204" t="str" cm="1">
        <f t="array" ref="O204">_xlfn.IFS(G204&lt;0.09,"Low",G204&lt;0.2,"Medium",G204&lt;0.4,"High")</f>
        <v>Low</v>
      </c>
    </row>
    <row r="205" spans="1:15" x14ac:dyDescent="0.3">
      <c r="A205">
        <v>10204</v>
      </c>
      <c r="B205" s="1">
        <v>44765</v>
      </c>
      <c r="C205">
        <v>2097</v>
      </c>
      <c r="D205" t="s">
        <v>9</v>
      </c>
      <c r="E205">
        <v>7</v>
      </c>
      <c r="F205">
        <v>212.11</v>
      </c>
      <c r="G205">
        <v>0.18</v>
      </c>
      <c r="H205" t="s">
        <v>15</v>
      </c>
      <c r="I205" t="s">
        <v>11</v>
      </c>
      <c r="J205">
        <f>amazon_store_sales_2022__1[[#This Row],[UnitPrice]]*amazon_store_sales_2022__1[[#This Row],[Quantity]]</f>
        <v>1484.77</v>
      </c>
      <c r="K205">
        <f>amazon_store_sales_2022__1[[#This Row],[Total ]]*amazon_store_sales_2022__1[[#This Row],[Discount]]</f>
        <v>267.2586</v>
      </c>
      <c r="L205" s="13">
        <f>amazon_store_sales_2022__1[[#This Row],[Total ]]-amazon_store_sales_2022__1[[#This Row],[Total Discount]]</f>
        <v>1217.5113999999999</v>
      </c>
      <c r="M205">
        <f>YEAR(amazon_store_sales_2022__1[[#This Row],[OrderDate]])</f>
        <v>2022</v>
      </c>
      <c r="N205" t="str" cm="1">
        <f t="array" ref="N205">_xlfn.IFS(L205&lt;500," VeryLow",L205&lt;1000,"Low",L205&lt;2000,"Medium",L205&lt;3000,"High",L205&lt;5000,"VeryHigh")</f>
        <v>Medium</v>
      </c>
      <c r="O205" t="str" cm="1">
        <f t="array" ref="O205">_xlfn.IFS(G205&lt;0.09,"Low",G205&lt;0.2,"Medium",G205&lt;0.4,"High")</f>
        <v>Medium</v>
      </c>
    </row>
    <row r="206" spans="1:15" x14ac:dyDescent="0.3">
      <c r="A206">
        <v>10205</v>
      </c>
      <c r="B206" s="1">
        <v>44766</v>
      </c>
      <c r="C206">
        <v>2051</v>
      </c>
      <c r="D206" t="s">
        <v>16</v>
      </c>
      <c r="E206">
        <v>8</v>
      </c>
      <c r="F206">
        <v>105.77</v>
      </c>
      <c r="G206">
        <v>0.03</v>
      </c>
      <c r="H206" t="s">
        <v>17</v>
      </c>
      <c r="I206" t="s">
        <v>11</v>
      </c>
      <c r="J206">
        <f>amazon_store_sales_2022__1[[#This Row],[UnitPrice]]*amazon_store_sales_2022__1[[#This Row],[Quantity]]</f>
        <v>846.16</v>
      </c>
      <c r="K206">
        <f>amazon_store_sales_2022__1[[#This Row],[Total ]]*amazon_store_sales_2022__1[[#This Row],[Discount]]</f>
        <v>25.384799999999998</v>
      </c>
      <c r="L206" s="13">
        <f>amazon_store_sales_2022__1[[#This Row],[Total ]]-amazon_store_sales_2022__1[[#This Row],[Total Discount]]</f>
        <v>820.77519999999993</v>
      </c>
      <c r="M206">
        <f>YEAR(amazon_store_sales_2022__1[[#This Row],[OrderDate]])</f>
        <v>2022</v>
      </c>
      <c r="N206" t="str" cm="1">
        <f t="array" ref="N206">_xlfn.IFS(L206&lt;500," VeryLow",L206&lt;1000,"Low",L206&lt;2000,"Medium",L206&lt;3000,"High",L206&lt;5000,"VeryHigh")</f>
        <v>Low</v>
      </c>
      <c r="O206" t="str" cm="1">
        <f t="array" ref="O206">_xlfn.IFS(G206&lt;0.09,"Low",G206&lt;0.2,"Medium",G206&lt;0.4,"High")</f>
        <v>Low</v>
      </c>
    </row>
    <row r="207" spans="1:15" x14ac:dyDescent="0.3">
      <c r="A207">
        <v>10206</v>
      </c>
      <c r="B207" s="1">
        <v>44767</v>
      </c>
      <c r="C207">
        <v>2044</v>
      </c>
      <c r="D207" t="s">
        <v>9</v>
      </c>
      <c r="E207">
        <v>6</v>
      </c>
      <c r="F207">
        <v>421.02</v>
      </c>
      <c r="G207">
        <v>0.11</v>
      </c>
      <c r="H207" t="s">
        <v>10</v>
      </c>
      <c r="I207" t="s">
        <v>18</v>
      </c>
      <c r="J207">
        <f>amazon_store_sales_2022__1[[#This Row],[UnitPrice]]*amazon_store_sales_2022__1[[#This Row],[Quantity]]</f>
        <v>2526.12</v>
      </c>
      <c r="K207">
        <f>amazon_store_sales_2022__1[[#This Row],[Total ]]*amazon_store_sales_2022__1[[#This Row],[Discount]]</f>
        <v>277.8732</v>
      </c>
      <c r="L207" s="13">
        <f>amazon_store_sales_2022__1[[#This Row],[Total ]]-amazon_store_sales_2022__1[[#This Row],[Total Discount]]</f>
        <v>2248.2467999999999</v>
      </c>
      <c r="M207">
        <f>YEAR(amazon_store_sales_2022__1[[#This Row],[OrderDate]])</f>
        <v>2022</v>
      </c>
      <c r="N207" t="str" cm="1">
        <f t="array" ref="N207">_xlfn.IFS(L207&lt;500," VeryLow",L207&lt;1000,"Low",L207&lt;2000,"Medium",L207&lt;3000,"High",L207&lt;5000,"VeryHigh")</f>
        <v>High</v>
      </c>
      <c r="O207" t="str" cm="1">
        <f t="array" ref="O207">_xlfn.IFS(G207&lt;0.09,"Low",G207&lt;0.2,"Medium",G207&lt;0.4,"High")</f>
        <v>Medium</v>
      </c>
    </row>
    <row r="208" spans="1:15" x14ac:dyDescent="0.3">
      <c r="A208">
        <v>10207</v>
      </c>
      <c r="B208" s="1">
        <v>44768</v>
      </c>
      <c r="C208">
        <v>2024</v>
      </c>
      <c r="D208" t="s">
        <v>14</v>
      </c>
      <c r="E208">
        <v>9</v>
      </c>
      <c r="F208">
        <v>91.23</v>
      </c>
      <c r="G208">
        <v>0.17</v>
      </c>
      <c r="H208" t="s">
        <v>13</v>
      </c>
      <c r="I208" t="s">
        <v>18</v>
      </c>
      <c r="J208">
        <f>amazon_store_sales_2022__1[[#This Row],[UnitPrice]]*amazon_store_sales_2022__1[[#This Row],[Quantity]]</f>
        <v>821.07</v>
      </c>
      <c r="K208">
        <f>amazon_store_sales_2022__1[[#This Row],[Total ]]*amazon_store_sales_2022__1[[#This Row],[Discount]]</f>
        <v>139.58190000000002</v>
      </c>
      <c r="L208" s="13">
        <f>amazon_store_sales_2022__1[[#This Row],[Total ]]-amazon_store_sales_2022__1[[#This Row],[Total Discount]]</f>
        <v>681.48810000000003</v>
      </c>
      <c r="M208">
        <f>YEAR(amazon_store_sales_2022__1[[#This Row],[OrderDate]])</f>
        <v>2022</v>
      </c>
      <c r="N208" t="str" cm="1">
        <f t="array" ref="N208">_xlfn.IFS(L208&lt;500," VeryLow",L208&lt;1000,"Low",L208&lt;2000,"Medium",L208&lt;3000,"High",L208&lt;5000,"VeryHigh")</f>
        <v>Low</v>
      </c>
      <c r="O208" t="str" cm="1">
        <f t="array" ref="O208">_xlfn.IFS(G208&lt;0.09,"Low",G208&lt;0.2,"Medium",G208&lt;0.4,"High")</f>
        <v>Medium</v>
      </c>
    </row>
    <row r="209" spans="1:15" x14ac:dyDescent="0.3">
      <c r="A209">
        <v>10208</v>
      </c>
      <c r="B209" s="1">
        <v>44769</v>
      </c>
      <c r="C209">
        <v>2079</v>
      </c>
      <c r="D209" t="s">
        <v>14</v>
      </c>
      <c r="E209">
        <v>5</v>
      </c>
      <c r="F209">
        <v>480.59</v>
      </c>
      <c r="G209">
        <v>0.12</v>
      </c>
      <c r="H209" t="s">
        <v>20</v>
      </c>
      <c r="I209" t="s">
        <v>11</v>
      </c>
      <c r="J209">
        <f>amazon_store_sales_2022__1[[#This Row],[UnitPrice]]*amazon_store_sales_2022__1[[#This Row],[Quantity]]</f>
        <v>2402.9499999999998</v>
      </c>
      <c r="K209">
        <f>amazon_store_sales_2022__1[[#This Row],[Total ]]*amazon_store_sales_2022__1[[#This Row],[Discount]]</f>
        <v>288.35399999999998</v>
      </c>
      <c r="L209" s="13">
        <f>amazon_store_sales_2022__1[[#This Row],[Total ]]-amazon_store_sales_2022__1[[#This Row],[Total Discount]]</f>
        <v>2114.596</v>
      </c>
      <c r="M209">
        <f>YEAR(amazon_store_sales_2022__1[[#This Row],[OrderDate]])</f>
        <v>2022</v>
      </c>
      <c r="N209" t="str" cm="1">
        <f t="array" ref="N209">_xlfn.IFS(L209&lt;500," VeryLow",L209&lt;1000,"Low",L209&lt;2000,"Medium",L209&lt;3000,"High",L209&lt;5000,"VeryHigh")</f>
        <v>High</v>
      </c>
      <c r="O209" t="str" cm="1">
        <f t="array" ref="O209">_xlfn.IFS(G209&lt;0.09,"Low",G209&lt;0.2,"Medium",G209&lt;0.4,"High")</f>
        <v>Medium</v>
      </c>
    </row>
    <row r="210" spans="1:15" x14ac:dyDescent="0.3">
      <c r="A210">
        <v>10209</v>
      </c>
      <c r="B210" s="1">
        <v>44770</v>
      </c>
      <c r="C210">
        <v>2059</v>
      </c>
      <c r="D210" t="s">
        <v>9</v>
      </c>
      <c r="E210">
        <v>3</v>
      </c>
      <c r="F210">
        <v>210.87</v>
      </c>
      <c r="G210">
        <v>0.05</v>
      </c>
      <c r="H210" t="s">
        <v>17</v>
      </c>
      <c r="I210" t="s">
        <v>18</v>
      </c>
      <c r="J210">
        <f>amazon_store_sales_2022__1[[#This Row],[UnitPrice]]*amazon_store_sales_2022__1[[#This Row],[Quantity]]</f>
        <v>632.61</v>
      </c>
      <c r="K210">
        <f>amazon_store_sales_2022__1[[#This Row],[Total ]]*amazon_store_sales_2022__1[[#This Row],[Discount]]</f>
        <v>31.630500000000001</v>
      </c>
      <c r="L210" s="13">
        <f>amazon_store_sales_2022__1[[#This Row],[Total ]]-amazon_store_sales_2022__1[[#This Row],[Total Discount]]</f>
        <v>600.97950000000003</v>
      </c>
      <c r="M210">
        <f>YEAR(amazon_store_sales_2022__1[[#This Row],[OrderDate]])</f>
        <v>2022</v>
      </c>
      <c r="N210" t="str" cm="1">
        <f t="array" ref="N210">_xlfn.IFS(L210&lt;500," VeryLow",L210&lt;1000,"Low",L210&lt;2000,"Medium",L210&lt;3000,"High",L210&lt;5000,"VeryHigh")</f>
        <v>Low</v>
      </c>
      <c r="O210" t="str" cm="1">
        <f t="array" ref="O210">_xlfn.IFS(G210&lt;0.09,"Low",G210&lt;0.2,"Medium",G210&lt;0.4,"High")</f>
        <v>Low</v>
      </c>
    </row>
    <row r="211" spans="1:15" x14ac:dyDescent="0.3">
      <c r="A211">
        <v>10210</v>
      </c>
      <c r="B211" s="1">
        <v>44771</v>
      </c>
      <c r="C211">
        <v>2032</v>
      </c>
      <c r="D211" t="s">
        <v>19</v>
      </c>
      <c r="E211">
        <v>3</v>
      </c>
      <c r="F211">
        <v>423.89</v>
      </c>
      <c r="G211">
        <v>0.08</v>
      </c>
      <c r="H211" t="s">
        <v>20</v>
      </c>
      <c r="I211" t="s">
        <v>11</v>
      </c>
      <c r="J211">
        <f>amazon_store_sales_2022__1[[#This Row],[UnitPrice]]*amazon_store_sales_2022__1[[#This Row],[Quantity]]</f>
        <v>1271.67</v>
      </c>
      <c r="K211">
        <f>amazon_store_sales_2022__1[[#This Row],[Total ]]*amazon_store_sales_2022__1[[#This Row],[Discount]]</f>
        <v>101.73360000000001</v>
      </c>
      <c r="L211" s="13">
        <f>amazon_store_sales_2022__1[[#This Row],[Total ]]-amazon_store_sales_2022__1[[#This Row],[Total Discount]]</f>
        <v>1169.9364</v>
      </c>
      <c r="M211">
        <f>YEAR(amazon_store_sales_2022__1[[#This Row],[OrderDate]])</f>
        <v>2022</v>
      </c>
      <c r="N211" t="str" cm="1">
        <f t="array" ref="N211">_xlfn.IFS(L211&lt;500," VeryLow",L211&lt;1000,"Low",L211&lt;2000,"Medium",L211&lt;3000,"High",L211&lt;5000,"VeryHigh")</f>
        <v>Medium</v>
      </c>
      <c r="O211" t="str" cm="1">
        <f t="array" ref="O211">_xlfn.IFS(G211&lt;0.09,"Low",G211&lt;0.2,"Medium",G211&lt;0.4,"High")</f>
        <v>Low</v>
      </c>
    </row>
    <row r="212" spans="1:15" x14ac:dyDescent="0.3">
      <c r="A212">
        <v>10211</v>
      </c>
      <c r="B212" s="1">
        <v>44772</v>
      </c>
      <c r="C212">
        <v>2096</v>
      </c>
      <c r="D212" t="s">
        <v>12</v>
      </c>
      <c r="E212">
        <v>1</v>
      </c>
      <c r="F212">
        <v>316.24</v>
      </c>
      <c r="G212">
        <v>0.28000000000000003</v>
      </c>
      <c r="H212" t="s">
        <v>20</v>
      </c>
      <c r="I212" t="s">
        <v>11</v>
      </c>
      <c r="J212">
        <f>amazon_store_sales_2022__1[[#This Row],[UnitPrice]]*amazon_store_sales_2022__1[[#This Row],[Quantity]]</f>
        <v>316.24</v>
      </c>
      <c r="K212">
        <f>amazon_store_sales_2022__1[[#This Row],[Total ]]*amazon_store_sales_2022__1[[#This Row],[Discount]]</f>
        <v>88.547200000000018</v>
      </c>
      <c r="L212" s="13">
        <f>amazon_store_sales_2022__1[[#This Row],[Total ]]-amazon_store_sales_2022__1[[#This Row],[Total Discount]]</f>
        <v>227.69279999999998</v>
      </c>
      <c r="M212">
        <f>YEAR(amazon_store_sales_2022__1[[#This Row],[OrderDate]])</f>
        <v>2022</v>
      </c>
      <c r="N212" t="str" cm="1">
        <f t="array" ref="N212">_xlfn.IFS(L212&lt;500," VeryLow",L212&lt;1000,"Low",L212&lt;2000,"Medium",L212&lt;3000,"High",L212&lt;5000,"VeryHigh")</f>
        <v xml:space="preserve"> VeryLow</v>
      </c>
      <c r="O212" t="str" cm="1">
        <f t="array" ref="O212">_xlfn.IFS(G212&lt;0.09,"Low",G212&lt;0.2,"Medium",G212&lt;0.4,"High")</f>
        <v>High</v>
      </c>
    </row>
    <row r="213" spans="1:15" x14ac:dyDescent="0.3">
      <c r="A213">
        <v>10212</v>
      </c>
      <c r="B213" s="1">
        <v>44773</v>
      </c>
      <c r="C213">
        <v>2088</v>
      </c>
      <c r="D213" t="s">
        <v>19</v>
      </c>
      <c r="E213">
        <v>8</v>
      </c>
      <c r="F213">
        <v>369</v>
      </c>
      <c r="G213">
        <v>0.2</v>
      </c>
      <c r="H213" t="s">
        <v>15</v>
      </c>
      <c r="I213" t="s">
        <v>18</v>
      </c>
      <c r="J213">
        <f>amazon_store_sales_2022__1[[#This Row],[UnitPrice]]*amazon_store_sales_2022__1[[#This Row],[Quantity]]</f>
        <v>2952</v>
      </c>
      <c r="K213">
        <f>amazon_store_sales_2022__1[[#This Row],[Total ]]*amazon_store_sales_2022__1[[#This Row],[Discount]]</f>
        <v>590.4</v>
      </c>
      <c r="L213" s="13">
        <f>amazon_store_sales_2022__1[[#This Row],[Total ]]-amazon_store_sales_2022__1[[#This Row],[Total Discount]]</f>
        <v>2361.6</v>
      </c>
      <c r="M213">
        <f>YEAR(amazon_store_sales_2022__1[[#This Row],[OrderDate]])</f>
        <v>2022</v>
      </c>
      <c r="N213" t="str" cm="1">
        <f t="array" ref="N213">_xlfn.IFS(L213&lt;500," VeryLow",L213&lt;1000,"Low",L213&lt;2000,"Medium",L213&lt;3000,"High",L213&lt;5000,"VeryHigh")</f>
        <v>High</v>
      </c>
      <c r="O213" t="str" cm="1">
        <f t="array" ref="O213">_xlfn.IFS(G213&lt;0.09,"Low",G213&lt;0.2,"Medium",G213&lt;0.4,"High")</f>
        <v>High</v>
      </c>
    </row>
    <row r="214" spans="1:15" x14ac:dyDescent="0.3">
      <c r="A214">
        <v>10213</v>
      </c>
      <c r="B214" s="1">
        <v>44774</v>
      </c>
      <c r="C214">
        <v>2052</v>
      </c>
      <c r="D214" t="s">
        <v>19</v>
      </c>
      <c r="E214">
        <v>2</v>
      </c>
      <c r="F214">
        <v>385.02</v>
      </c>
      <c r="G214">
        <v>0.15</v>
      </c>
      <c r="H214" t="s">
        <v>15</v>
      </c>
      <c r="I214" t="s">
        <v>18</v>
      </c>
      <c r="J214">
        <f>amazon_store_sales_2022__1[[#This Row],[UnitPrice]]*amazon_store_sales_2022__1[[#This Row],[Quantity]]</f>
        <v>770.04</v>
      </c>
      <c r="K214">
        <f>amazon_store_sales_2022__1[[#This Row],[Total ]]*amazon_store_sales_2022__1[[#This Row],[Discount]]</f>
        <v>115.50599999999999</v>
      </c>
      <c r="L214" s="13">
        <f>amazon_store_sales_2022__1[[#This Row],[Total ]]-amazon_store_sales_2022__1[[#This Row],[Total Discount]]</f>
        <v>654.53399999999999</v>
      </c>
      <c r="M214">
        <f>YEAR(amazon_store_sales_2022__1[[#This Row],[OrderDate]])</f>
        <v>2022</v>
      </c>
      <c r="N214" t="str" cm="1">
        <f t="array" ref="N214">_xlfn.IFS(L214&lt;500," VeryLow",L214&lt;1000,"Low",L214&lt;2000,"Medium",L214&lt;3000,"High",L214&lt;5000,"VeryHigh")</f>
        <v>Low</v>
      </c>
      <c r="O214" t="str" cm="1">
        <f t="array" ref="O214">_xlfn.IFS(G214&lt;0.09,"Low",G214&lt;0.2,"Medium",G214&lt;0.4,"High")</f>
        <v>Medium</v>
      </c>
    </row>
    <row r="215" spans="1:15" x14ac:dyDescent="0.3">
      <c r="A215">
        <v>10214</v>
      </c>
      <c r="B215" s="1">
        <v>44775</v>
      </c>
      <c r="C215">
        <v>2062</v>
      </c>
      <c r="D215" t="s">
        <v>19</v>
      </c>
      <c r="E215">
        <v>3</v>
      </c>
      <c r="F215">
        <v>254.9</v>
      </c>
      <c r="G215">
        <v>0</v>
      </c>
      <c r="H215" t="s">
        <v>17</v>
      </c>
      <c r="I215" t="s">
        <v>11</v>
      </c>
      <c r="J215">
        <f>amazon_store_sales_2022__1[[#This Row],[UnitPrice]]*amazon_store_sales_2022__1[[#This Row],[Quantity]]</f>
        <v>764.7</v>
      </c>
      <c r="K215">
        <f>amazon_store_sales_2022__1[[#This Row],[Total ]]*amazon_store_sales_2022__1[[#This Row],[Discount]]</f>
        <v>0</v>
      </c>
      <c r="L215" s="13">
        <f>amazon_store_sales_2022__1[[#This Row],[Total ]]-amazon_store_sales_2022__1[[#This Row],[Total Discount]]</f>
        <v>764.7</v>
      </c>
      <c r="M215">
        <f>YEAR(amazon_store_sales_2022__1[[#This Row],[OrderDate]])</f>
        <v>2022</v>
      </c>
      <c r="N215" t="str" cm="1">
        <f t="array" ref="N215">_xlfn.IFS(L215&lt;500," VeryLow",L215&lt;1000,"Low",L215&lt;2000,"Medium",L215&lt;3000,"High",L215&lt;5000,"VeryHigh")</f>
        <v>Low</v>
      </c>
      <c r="O215" t="str" cm="1">
        <f t="array" ref="O215">_xlfn.IFS(G215&lt;0.09,"Low",G215&lt;0.2,"Medium",G215&lt;0.4,"High")</f>
        <v>Low</v>
      </c>
    </row>
    <row r="216" spans="1:15" x14ac:dyDescent="0.3">
      <c r="A216">
        <v>10215</v>
      </c>
      <c r="B216" s="1">
        <v>44776</v>
      </c>
      <c r="C216">
        <v>2058</v>
      </c>
      <c r="D216" t="s">
        <v>16</v>
      </c>
      <c r="E216">
        <v>8</v>
      </c>
      <c r="F216">
        <v>273.93</v>
      </c>
      <c r="G216">
        <v>0.3</v>
      </c>
      <c r="H216" t="s">
        <v>10</v>
      </c>
      <c r="I216" t="s">
        <v>11</v>
      </c>
      <c r="J216">
        <f>amazon_store_sales_2022__1[[#This Row],[UnitPrice]]*amazon_store_sales_2022__1[[#This Row],[Quantity]]</f>
        <v>2191.44</v>
      </c>
      <c r="K216">
        <f>amazon_store_sales_2022__1[[#This Row],[Total ]]*amazon_store_sales_2022__1[[#This Row],[Discount]]</f>
        <v>657.43200000000002</v>
      </c>
      <c r="L216" s="13">
        <f>amazon_store_sales_2022__1[[#This Row],[Total ]]-amazon_store_sales_2022__1[[#This Row],[Total Discount]]</f>
        <v>1534.008</v>
      </c>
      <c r="M216">
        <f>YEAR(amazon_store_sales_2022__1[[#This Row],[OrderDate]])</f>
        <v>2022</v>
      </c>
      <c r="N216" t="str" cm="1">
        <f t="array" ref="N216">_xlfn.IFS(L216&lt;500," VeryLow",L216&lt;1000,"Low",L216&lt;2000,"Medium",L216&lt;3000,"High",L216&lt;5000,"VeryHigh")</f>
        <v>Medium</v>
      </c>
      <c r="O216" t="str" cm="1">
        <f t="array" ref="O216">_xlfn.IFS(G216&lt;0.09,"Low",G216&lt;0.2,"Medium",G216&lt;0.4,"High")</f>
        <v>High</v>
      </c>
    </row>
    <row r="217" spans="1:15" x14ac:dyDescent="0.3">
      <c r="A217">
        <v>10216</v>
      </c>
      <c r="B217" s="1">
        <v>44777</v>
      </c>
      <c r="C217">
        <v>2052</v>
      </c>
      <c r="D217" t="s">
        <v>14</v>
      </c>
      <c r="E217">
        <v>8</v>
      </c>
      <c r="F217">
        <v>259.43</v>
      </c>
      <c r="G217">
        <v>0.2</v>
      </c>
      <c r="H217" t="s">
        <v>17</v>
      </c>
      <c r="I217" t="s">
        <v>11</v>
      </c>
      <c r="J217">
        <f>amazon_store_sales_2022__1[[#This Row],[UnitPrice]]*amazon_store_sales_2022__1[[#This Row],[Quantity]]</f>
        <v>2075.44</v>
      </c>
      <c r="K217">
        <f>amazon_store_sales_2022__1[[#This Row],[Total ]]*amazon_store_sales_2022__1[[#This Row],[Discount]]</f>
        <v>415.08800000000002</v>
      </c>
      <c r="L217" s="13">
        <f>amazon_store_sales_2022__1[[#This Row],[Total ]]-amazon_store_sales_2022__1[[#This Row],[Total Discount]]</f>
        <v>1660.3520000000001</v>
      </c>
      <c r="M217">
        <f>YEAR(amazon_store_sales_2022__1[[#This Row],[OrderDate]])</f>
        <v>2022</v>
      </c>
      <c r="N217" t="str" cm="1">
        <f t="array" ref="N217">_xlfn.IFS(L217&lt;500," VeryLow",L217&lt;1000,"Low",L217&lt;2000,"Medium",L217&lt;3000,"High",L217&lt;5000,"VeryHigh")</f>
        <v>Medium</v>
      </c>
      <c r="O217" t="str" cm="1">
        <f t="array" ref="O217">_xlfn.IFS(G217&lt;0.09,"Low",G217&lt;0.2,"Medium",G217&lt;0.4,"High")</f>
        <v>High</v>
      </c>
    </row>
    <row r="218" spans="1:15" x14ac:dyDescent="0.3">
      <c r="A218">
        <v>10217</v>
      </c>
      <c r="B218" s="1">
        <v>44778</v>
      </c>
      <c r="C218">
        <v>2012</v>
      </c>
      <c r="D218" t="s">
        <v>19</v>
      </c>
      <c r="E218">
        <v>4</v>
      </c>
      <c r="F218">
        <v>296.08999999999997</v>
      </c>
      <c r="G218">
        <v>0.1</v>
      </c>
      <c r="H218" t="s">
        <v>10</v>
      </c>
      <c r="I218" t="s">
        <v>11</v>
      </c>
      <c r="J218">
        <f>amazon_store_sales_2022__1[[#This Row],[UnitPrice]]*amazon_store_sales_2022__1[[#This Row],[Quantity]]</f>
        <v>1184.3599999999999</v>
      </c>
      <c r="K218">
        <f>amazon_store_sales_2022__1[[#This Row],[Total ]]*amazon_store_sales_2022__1[[#This Row],[Discount]]</f>
        <v>118.43599999999999</v>
      </c>
      <c r="L218" s="13">
        <f>amazon_store_sales_2022__1[[#This Row],[Total ]]-amazon_store_sales_2022__1[[#This Row],[Total Discount]]</f>
        <v>1065.924</v>
      </c>
      <c r="M218">
        <f>YEAR(amazon_store_sales_2022__1[[#This Row],[OrderDate]])</f>
        <v>2022</v>
      </c>
      <c r="N218" t="str" cm="1">
        <f t="array" ref="N218">_xlfn.IFS(L218&lt;500," VeryLow",L218&lt;1000,"Low",L218&lt;2000,"Medium",L218&lt;3000,"High",L218&lt;5000,"VeryHigh")</f>
        <v>Medium</v>
      </c>
      <c r="O218" t="str" cm="1">
        <f t="array" ref="O218">_xlfn.IFS(G218&lt;0.09,"Low",G218&lt;0.2,"Medium",G218&lt;0.4,"High")</f>
        <v>Medium</v>
      </c>
    </row>
    <row r="219" spans="1:15" x14ac:dyDescent="0.3">
      <c r="A219">
        <v>10218</v>
      </c>
      <c r="B219" s="1">
        <v>44779</v>
      </c>
      <c r="C219">
        <v>2039</v>
      </c>
      <c r="D219" t="s">
        <v>14</v>
      </c>
      <c r="E219">
        <v>4</v>
      </c>
      <c r="F219">
        <v>19.55</v>
      </c>
      <c r="G219">
        <v>0.26</v>
      </c>
      <c r="H219" t="s">
        <v>20</v>
      </c>
      <c r="I219" t="s">
        <v>18</v>
      </c>
      <c r="J219">
        <f>amazon_store_sales_2022__1[[#This Row],[UnitPrice]]*amazon_store_sales_2022__1[[#This Row],[Quantity]]</f>
        <v>78.2</v>
      </c>
      <c r="K219">
        <f>amazon_store_sales_2022__1[[#This Row],[Total ]]*amazon_store_sales_2022__1[[#This Row],[Discount]]</f>
        <v>20.332000000000001</v>
      </c>
      <c r="L219" s="13">
        <f>amazon_store_sales_2022__1[[#This Row],[Total ]]-amazon_store_sales_2022__1[[#This Row],[Total Discount]]</f>
        <v>57.868000000000002</v>
      </c>
      <c r="M219">
        <f>YEAR(amazon_store_sales_2022__1[[#This Row],[OrderDate]])</f>
        <v>2022</v>
      </c>
      <c r="N219" t="str" cm="1">
        <f t="array" ref="N219">_xlfn.IFS(L219&lt;500," VeryLow",L219&lt;1000,"Low",L219&lt;2000,"Medium",L219&lt;3000,"High",L219&lt;5000,"VeryHigh")</f>
        <v xml:space="preserve"> VeryLow</v>
      </c>
      <c r="O219" t="str" cm="1">
        <f t="array" ref="O219">_xlfn.IFS(G219&lt;0.09,"Low",G219&lt;0.2,"Medium",G219&lt;0.4,"High")</f>
        <v>High</v>
      </c>
    </row>
    <row r="220" spans="1:15" x14ac:dyDescent="0.3">
      <c r="A220">
        <v>10219</v>
      </c>
      <c r="B220" s="1">
        <v>44780</v>
      </c>
      <c r="C220">
        <v>2002</v>
      </c>
      <c r="D220" t="s">
        <v>9</v>
      </c>
      <c r="E220">
        <v>5</v>
      </c>
      <c r="F220">
        <v>200.78</v>
      </c>
      <c r="G220">
        <v>0.08</v>
      </c>
      <c r="H220" t="s">
        <v>13</v>
      </c>
      <c r="I220" t="s">
        <v>11</v>
      </c>
      <c r="J220">
        <f>amazon_store_sales_2022__1[[#This Row],[UnitPrice]]*amazon_store_sales_2022__1[[#This Row],[Quantity]]</f>
        <v>1003.9</v>
      </c>
      <c r="K220">
        <f>amazon_store_sales_2022__1[[#This Row],[Total ]]*amazon_store_sales_2022__1[[#This Row],[Discount]]</f>
        <v>80.311999999999998</v>
      </c>
      <c r="L220" s="13">
        <f>amazon_store_sales_2022__1[[#This Row],[Total ]]-amazon_store_sales_2022__1[[#This Row],[Total Discount]]</f>
        <v>923.58799999999997</v>
      </c>
      <c r="M220">
        <f>YEAR(amazon_store_sales_2022__1[[#This Row],[OrderDate]])</f>
        <v>2022</v>
      </c>
      <c r="N220" t="str" cm="1">
        <f t="array" ref="N220">_xlfn.IFS(L220&lt;500," VeryLow",L220&lt;1000,"Low",L220&lt;2000,"Medium",L220&lt;3000,"High",L220&lt;5000,"VeryHigh")</f>
        <v>Low</v>
      </c>
      <c r="O220" t="str" cm="1">
        <f t="array" ref="O220">_xlfn.IFS(G220&lt;0.09,"Low",G220&lt;0.2,"Medium",G220&lt;0.4,"High")</f>
        <v>Low</v>
      </c>
    </row>
    <row r="221" spans="1:15" x14ac:dyDescent="0.3">
      <c r="A221">
        <v>10220</v>
      </c>
      <c r="B221" s="1">
        <v>44781</v>
      </c>
      <c r="C221">
        <v>2003</v>
      </c>
      <c r="D221" t="s">
        <v>12</v>
      </c>
      <c r="E221">
        <v>6</v>
      </c>
      <c r="F221">
        <v>305.06</v>
      </c>
      <c r="G221">
        <v>0.16</v>
      </c>
      <c r="H221" t="s">
        <v>17</v>
      </c>
      <c r="I221" t="s">
        <v>11</v>
      </c>
      <c r="J221">
        <f>amazon_store_sales_2022__1[[#This Row],[UnitPrice]]*amazon_store_sales_2022__1[[#This Row],[Quantity]]</f>
        <v>1830.3600000000001</v>
      </c>
      <c r="K221">
        <f>amazon_store_sales_2022__1[[#This Row],[Total ]]*amazon_store_sales_2022__1[[#This Row],[Discount]]</f>
        <v>292.85760000000005</v>
      </c>
      <c r="L221" s="13">
        <f>amazon_store_sales_2022__1[[#This Row],[Total ]]-amazon_store_sales_2022__1[[#This Row],[Total Discount]]</f>
        <v>1537.5024000000001</v>
      </c>
      <c r="M221">
        <f>YEAR(amazon_store_sales_2022__1[[#This Row],[OrderDate]])</f>
        <v>2022</v>
      </c>
      <c r="N221" t="str" cm="1">
        <f t="array" ref="N221">_xlfn.IFS(L221&lt;500," VeryLow",L221&lt;1000,"Low",L221&lt;2000,"Medium",L221&lt;3000,"High",L221&lt;5000,"VeryHigh")</f>
        <v>Medium</v>
      </c>
      <c r="O221" t="str" cm="1">
        <f t="array" ref="O221">_xlfn.IFS(G221&lt;0.09,"Low",G221&lt;0.2,"Medium",G221&lt;0.4,"High")</f>
        <v>Medium</v>
      </c>
    </row>
    <row r="222" spans="1:15" x14ac:dyDescent="0.3">
      <c r="A222">
        <v>10221</v>
      </c>
      <c r="B222" s="1">
        <v>44782</v>
      </c>
      <c r="C222">
        <v>2056</v>
      </c>
      <c r="D222" t="s">
        <v>9</v>
      </c>
      <c r="E222">
        <v>5</v>
      </c>
      <c r="F222">
        <v>300.87</v>
      </c>
      <c r="G222">
        <v>0.19</v>
      </c>
      <c r="H222" t="s">
        <v>17</v>
      </c>
      <c r="I222" t="s">
        <v>11</v>
      </c>
      <c r="J222">
        <f>amazon_store_sales_2022__1[[#This Row],[UnitPrice]]*amazon_store_sales_2022__1[[#This Row],[Quantity]]</f>
        <v>1504.35</v>
      </c>
      <c r="K222">
        <f>amazon_store_sales_2022__1[[#This Row],[Total ]]*amazon_store_sales_2022__1[[#This Row],[Discount]]</f>
        <v>285.82650000000001</v>
      </c>
      <c r="L222" s="13">
        <f>amazon_store_sales_2022__1[[#This Row],[Total ]]-amazon_store_sales_2022__1[[#This Row],[Total Discount]]</f>
        <v>1218.5234999999998</v>
      </c>
      <c r="M222">
        <f>YEAR(amazon_store_sales_2022__1[[#This Row],[OrderDate]])</f>
        <v>2022</v>
      </c>
      <c r="N222" t="str" cm="1">
        <f t="array" ref="N222">_xlfn.IFS(L222&lt;500," VeryLow",L222&lt;1000,"Low",L222&lt;2000,"Medium",L222&lt;3000,"High",L222&lt;5000,"VeryHigh")</f>
        <v>Medium</v>
      </c>
      <c r="O222" t="str" cm="1">
        <f t="array" ref="O222">_xlfn.IFS(G222&lt;0.09,"Low",G222&lt;0.2,"Medium",G222&lt;0.4,"High")</f>
        <v>Medium</v>
      </c>
    </row>
    <row r="223" spans="1:15" x14ac:dyDescent="0.3">
      <c r="A223">
        <v>10222</v>
      </c>
      <c r="B223" s="1">
        <v>44783</v>
      </c>
      <c r="C223">
        <v>2081</v>
      </c>
      <c r="D223" t="s">
        <v>9</v>
      </c>
      <c r="E223">
        <v>7</v>
      </c>
      <c r="F223">
        <v>397.51</v>
      </c>
      <c r="G223">
        <v>7.0000000000000007E-2</v>
      </c>
      <c r="H223" t="s">
        <v>10</v>
      </c>
      <c r="I223" t="s">
        <v>18</v>
      </c>
      <c r="J223">
        <f>amazon_store_sales_2022__1[[#This Row],[UnitPrice]]*amazon_store_sales_2022__1[[#This Row],[Quantity]]</f>
        <v>2782.5699999999997</v>
      </c>
      <c r="K223">
        <f>amazon_store_sales_2022__1[[#This Row],[Total ]]*amazon_store_sales_2022__1[[#This Row],[Discount]]</f>
        <v>194.7799</v>
      </c>
      <c r="L223" s="13">
        <f>amazon_store_sales_2022__1[[#This Row],[Total ]]-amazon_store_sales_2022__1[[#This Row],[Total Discount]]</f>
        <v>2587.7900999999997</v>
      </c>
      <c r="M223">
        <f>YEAR(amazon_store_sales_2022__1[[#This Row],[OrderDate]])</f>
        <v>2022</v>
      </c>
      <c r="N223" t="str" cm="1">
        <f t="array" ref="N223">_xlfn.IFS(L223&lt;500," VeryLow",L223&lt;1000,"Low",L223&lt;2000,"Medium",L223&lt;3000,"High",L223&lt;5000,"VeryHigh")</f>
        <v>High</v>
      </c>
      <c r="O223" t="str" cm="1">
        <f t="array" ref="O223">_xlfn.IFS(G223&lt;0.09,"Low",G223&lt;0.2,"Medium",G223&lt;0.4,"High")</f>
        <v>Low</v>
      </c>
    </row>
    <row r="224" spans="1:15" x14ac:dyDescent="0.3">
      <c r="A224">
        <v>10223</v>
      </c>
      <c r="B224" s="1">
        <v>44784</v>
      </c>
      <c r="C224">
        <v>2059</v>
      </c>
      <c r="D224" t="s">
        <v>16</v>
      </c>
      <c r="E224">
        <v>2</v>
      </c>
      <c r="F224">
        <v>329.23</v>
      </c>
      <c r="G224">
        <v>0.28999999999999998</v>
      </c>
      <c r="H224" t="s">
        <v>20</v>
      </c>
      <c r="I224" t="s">
        <v>18</v>
      </c>
      <c r="J224">
        <f>amazon_store_sales_2022__1[[#This Row],[UnitPrice]]*amazon_store_sales_2022__1[[#This Row],[Quantity]]</f>
        <v>658.46</v>
      </c>
      <c r="K224">
        <f>amazon_store_sales_2022__1[[#This Row],[Total ]]*amazon_store_sales_2022__1[[#This Row],[Discount]]</f>
        <v>190.95339999999999</v>
      </c>
      <c r="L224" s="13">
        <f>amazon_store_sales_2022__1[[#This Row],[Total ]]-amazon_store_sales_2022__1[[#This Row],[Total Discount]]</f>
        <v>467.50660000000005</v>
      </c>
      <c r="M224">
        <f>YEAR(amazon_store_sales_2022__1[[#This Row],[OrderDate]])</f>
        <v>2022</v>
      </c>
      <c r="N224" t="str" cm="1">
        <f t="array" ref="N224">_xlfn.IFS(L224&lt;500," VeryLow",L224&lt;1000,"Low",L224&lt;2000,"Medium",L224&lt;3000,"High",L224&lt;5000,"VeryHigh")</f>
        <v xml:space="preserve"> VeryLow</v>
      </c>
      <c r="O224" t="str" cm="1">
        <f t="array" ref="O224">_xlfn.IFS(G224&lt;0.09,"Low",G224&lt;0.2,"Medium",G224&lt;0.4,"High")</f>
        <v>High</v>
      </c>
    </row>
    <row r="225" spans="1:15" x14ac:dyDescent="0.3">
      <c r="A225">
        <v>10224</v>
      </c>
      <c r="B225" s="1">
        <v>44785</v>
      </c>
      <c r="C225">
        <v>2002</v>
      </c>
      <c r="D225" t="s">
        <v>12</v>
      </c>
      <c r="E225">
        <v>7</v>
      </c>
      <c r="F225">
        <v>496.11</v>
      </c>
      <c r="G225">
        <v>0.22</v>
      </c>
      <c r="H225" t="s">
        <v>20</v>
      </c>
      <c r="I225" t="s">
        <v>11</v>
      </c>
      <c r="J225">
        <f>amazon_store_sales_2022__1[[#This Row],[UnitPrice]]*amazon_store_sales_2022__1[[#This Row],[Quantity]]</f>
        <v>3472.77</v>
      </c>
      <c r="K225">
        <f>amazon_store_sales_2022__1[[#This Row],[Total ]]*amazon_store_sales_2022__1[[#This Row],[Discount]]</f>
        <v>764.00940000000003</v>
      </c>
      <c r="L225" s="13">
        <f>amazon_store_sales_2022__1[[#This Row],[Total ]]-amazon_store_sales_2022__1[[#This Row],[Total Discount]]</f>
        <v>2708.7606000000001</v>
      </c>
      <c r="M225">
        <f>YEAR(amazon_store_sales_2022__1[[#This Row],[OrderDate]])</f>
        <v>2022</v>
      </c>
      <c r="N225" t="str" cm="1">
        <f t="array" ref="N225">_xlfn.IFS(L225&lt;500," VeryLow",L225&lt;1000,"Low",L225&lt;2000,"Medium",L225&lt;3000,"High",L225&lt;5000,"VeryHigh")</f>
        <v>High</v>
      </c>
      <c r="O225" t="str" cm="1">
        <f t="array" ref="O225">_xlfn.IFS(G225&lt;0.09,"Low",G225&lt;0.2,"Medium",G225&lt;0.4,"High")</f>
        <v>High</v>
      </c>
    </row>
    <row r="226" spans="1:15" x14ac:dyDescent="0.3">
      <c r="A226">
        <v>10225</v>
      </c>
      <c r="B226" s="1">
        <v>44786</v>
      </c>
      <c r="C226">
        <v>2002</v>
      </c>
      <c r="D226" t="s">
        <v>9</v>
      </c>
      <c r="E226">
        <v>7</v>
      </c>
      <c r="F226">
        <v>145.51</v>
      </c>
      <c r="G226">
        <v>0.17</v>
      </c>
      <c r="H226" t="s">
        <v>10</v>
      </c>
      <c r="I226" t="s">
        <v>18</v>
      </c>
      <c r="J226">
        <f>amazon_store_sales_2022__1[[#This Row],[UnitPrice]]*amazon_store_sales_2022__1[[#This Row],[Quantity]]</f>
        <v>1018.5699999999999</v>
      </c>
      <c r="K226">
        <f>amazon_store_sales_2022__1[[#This Row],[Total ]]*amazon_store_sales_2022__1[[#This Row],[Discount]]</f>
        <v>173.15690000000001</v>
      </c>
      <c r="L226" s="13">
        <f>amazon_store_sales_2022__1[[#This Row],[Total ]]-amazon_store_sales_2022__1[[#This Row],[Total Discount]]</f>
        <v>845.41309999999999</v>
      </c>
      <c r="M226">
        <f>YEAR(amazon_store_sales_2022__1[[#This Row],[OrderDate]])</f>
        <v>2022</v>
      </c>
      <c r="N226" t="str" cm="1">
        <f t="array" ref="N226">_xlfn.IFS(L226&lt;500," VeryLow",L226&lt;1000,"Low",L226&lt;2000,"Medium",L226&lt;3000,"High",L226&lt;5000,"VeryHigh")</f>
        <v>Low</v>
      </c>
      <c r="O226" t="str" cm="1">
        <f t="array" ref="O226">_xlfn.IFS(G226&lt;0.09,"Low",G226&lt;0.2,"Medium",G226&lt;0.4,"High")</f>
        <v>Medium</v>
      </c>
    </row>
    <row r="227" spans="1:15" x14ac:dyDescent="0.3">
      <c r="A227">
        <v>10226</v>
      </c>
      <c r="B227" s="1">
        <v>44787</v>
      </c>
      <c r="C227">
        <v>2092</v>
      </c>
      <c r="D227" t="s">
        <v>9</v>
      </c>
      <c r="E227">
        <v>1</v>
      </c>
      <c r="F227">
        <v>182.78</v>
      </c>
      <c r="G227">
        <v>0.05</v>
      </c>
      <c r="H227" t="s">
        <v>20</v>
      </c>
      <c r="I227" t="s">
        <v>18</v>
      </c>
      <c r="J227">
        <f>amazon_store_sales_2022__1[[#This Row],[UnitPrice]]*amazon_store_sales_2022__1[[#This Row],[Quantity]]</f>
        <v>182.78</v>
      </c>
      <c r="K227">
        <f>amazon_store_sales_2022__1[[#This Row],[Total ]]*amazon_store_sales_2022__1[[#This Row],[Discount]]</f>
        <v>9.1390000000000011</v>
      </c>
      <c r="L227" s="13">
        <f>amazon_store_sales_2022__1[[#This Row],[Total ]]-amazon_store_sales_2022__1[[#This Row],[Total Discount]]</f>
        <v>173.64099999999999</v>
      </c>
      <c r="M227">
        <f>YEAR(amazon_store_sales_2022__1[[#This Row],[OrderDate]])</f>
        <v>2022</v>
      </c>
      <c r="N227" t="str" cm="1">
        <f t="array" ref="N227">_xlfn.IFS(L227&lt;500," VeryLow",L227&lt;1000,"Low",L227&lt;2000,"Medium",L227&lt;3000,"High",L227&lt;5000,"VeryHigh")</f>
        <v xml:space="preserve"> VeryLow</v>
      </c>
      <c r="O227" t="str" cm="1">
        <f t="array" ref="O227">_xlfn.IFS(G227&lt;0.09,"Low",G227&lt;0.2,"Medium",G227&lt;0.4,"High")</f>
        <v>Low</v>
      </c>
    </row>
    <row r="228" spans="1:15" x14ac:dyDescent="0.3">
      <c r="A228">
        <v>10227</v>
      </c>
      <c r="B228" s="1">
        <v>44788</v>
      </c>
      <c r="C228">
        <v>2054</v>
      </c>
      <c r="D228" t="s">
        <v>12</v>
      </c>
      <c r="E228">
        <v>7</v>
      </c>
      <c r="F228">
        <v>195</v>
      </c>
      <c r="G228">
        <v>0.02</v>
      </c>
      <c r="H228" t="s">
        <v>15</v>
      </c>
      <c r="I228" t="s">
        <v>18</v>
      </c>
      <c r="J228">
        <f>amazon_store_sales_2022__1[[#This Row],[UnitPrice]]*amazon_store_sales_2022__1[[#This Row],[Quantity]]</f>
        <v>1365</v>
      </c>
      <c r="K228">
        <f>amazon_store_sales_2022__1[[#This Row],[Total ]]*amazon_store_sales_2022__1[[#This Row],[Discount]]</f>
        <v>27.3</v>
      </c>
      <c r="L228" s="13">
        <f>amazon_store_sales_2022__1[[#This Row],[Total ]]-amazon_store_sales_2022__1[[#This Row],[Total Discount]]</f>
        <v>1337.7</v>
      </c>
      <c r="M228">
        <f>YEAR(amazon_store_sales_2022__1[[#This Row],[OrderDate]])</f>
        <v>2022</v>
      </c>
      <c r="N228" t="str" cm="1">
        <f t="array" ref="N228">_xlfn.IFS(L228&lt;500," VeryLow",L228&lt;1000,"Low",L228&lt;2000,"Medium",L228&lt;3000,"High",L228&lt;5000,"VeryHigh")</f>
        <v>Medium</v>
      </c>
      <c r="O228" t="str" cm="1">
        <f t="array" ref="O228">_xlfn.IFS(G228&lt;0.09,"Low",G228&lt;0.2,"Medium",G228&lt;0.4,"High")</f>
        <v>Low</v>
      </c>
    </row>
    <row r="229" spans="1:15" x14ac:dyDescent="0.3">
      <c r="A229">
        <v>10228</v>
      </c>
      <c r="B229" s="1">
        <v>44789</v>
      </c>
      <c r="C229">
        <v>2087</v>
      </c>
      <c r="D229" t="s">
        <v>12</v>
      </c>
      <c r="E229">
        <v>5</v>
      </c>
      <c r="F229">
        <v>235.58</v>
      </c>
      <c r="G229">
        <v>0.1</v>
      </c>
      <c r="H229" t="s">
        <v>13</v>
      </c>
      <c r="I229" t="s">
        <v>11</v>
      </c>
      <c r="J229">
        <f>amazon_store_sales_2022__1[[#This Row],[UnitPrice]]*amazon_store_sales_2022__1[[#This Row],[Quantity]]</f>
        <v>1177.9000000000001</v>
      </c>
      <c r="K229">
        <f>amazon_store_sales_2022__1[[#This Row],[Total ]]*amazon_store_sales_2022__1[[#This Row],[Discount]]</f>
        <v>117.79000000000002</v>
      </c>
      <c r="L229" s="13">
        <f>amazon_store_sales_2022__1[[#This Row],[Total ]]-amazon_store_sales_2022__1[[#This Row],[Total Discount]]</f>
        <v>1060.1100000000001</v>
      </c>
      <c r="M229">
        <f>YEAR(amazon_store_sales_2022__1[[#This Row],[OrderDate]])</f>
        <v>2022</v>
      </c>
      <c r="N229" t="str" cm="1">
        <f t="array" ref="N229">_xlfn.IFS(L229&lt;500," VeryLow",L229&lt;1000,"Low",L229&lt;2000,"Medium",L229&lt;3000,"High",L229&lt;5000,"VeryHigh")</f>
        <v>Medium</v>
      </c>
      <c r="O229" t="str" cm="1">
        <f t="array" ref="O229">_xlfn.IFS(G229&lt;0.09,"Low",G229&lt;0.2,"Medium",G229&lt;0.4,"High")</f>
        <v>Medium</v>
      </c>
    </row>
    <row r="230" spans="1:15" x14ac:dyDescent="0.3">
      <c r="A230">
        <v>10229</v>
      </c>
      <c r="B230" s="1">
        <v>44790</v>
      </c>
      <c r="C230">
        <v>2096</v>
      </c>
      <c r="D230" t="s">
        <v>9</v>
      </c>
      <c r="E230">
        <v>3</v>
      </c>
      <c r="F230">
        <v>418.82</v>
      </c>
      <c r="G230">
        <v>0.23</v>
      </c>
      <c r="H230" t="s">
        <v>17</v>
      </c>
      <c r="I230" t="s">
        <v>11</v>
      </c>
      <c r="J230">
        <f>amazon_store_sales_2022__1[[#This Row],[UnitPrice]]*amazon_store_sales_2022__1[[#This Row],[Quantity]]</f>
        <v>1256.46</v>
      </c>
      <c r="K230">
        <f>amazon_store_sales_2022__1[[#This Row],[Total ]]*amazon_store_sales_2022__1[[#This Row],[Discount]]</f>
        <v>288.98580000000004</v>
      </c>
      <c r="L230" s="13">
        <f>amazon_store_sales_2022__1[[#This Row],[Total ]]-amazon_store_sales_2022__1[[#This Row],[Total Discount]]</f>
        <v>967.4742</v>
      </c>
      <c r="M230">
        <f>YEAR(amazon_store_sales_2022__1[[#This Row],[OrderDate]])</f>
        <v>2022</v>
      </c>
      <c r="N230" t="str" cm="1">
        <f t="array" ref="N230">_xlfn.IFS(L230&lt;500," VeryLow",L230&lt;1000,"Low",L230&lt;2000,"Medium",L230&lt;3000,"High",L230&lt;5000,"VeryHigh")</f>
        <v>Low</v>
      </c>
      <c r="O230" t="str" cm="1">
        <f t="array" ref="O230">_xlfn.IFS(G230&lt;0.09,"Low",G230&lt;0.2,"Medium",G230&lt;0.4,"High")</f>
        <v>High</v>
      </c>
    </row>
    <row r="231" spans="1:15" x14ac:dyDescent="0.3">
      <c r="A231">
        <v>10230</v>
      </c>
      <c r="B231" s="1">
        <v>44791</v>
      </c>
      <c r="C231">
        <v>2097</v>
      </c>
      <c r="D231" t="s">
        <v>12</v>
      </c>
      <c r="E231">
        <v>3</v>
      </c>
      <c r="F231">
        <v>121.72</v>
      </c>
      <c r="G231">
        <v>0.08</v>
      </c>
      <c r="H231" t="s">
        <v>13</v>
      </c>
      <c r="I231" t="s">
        <v>18</v>
      </c>
      <c r="J231">
        <f>amazon_store_sales_2022__1[[#This Row],[UnitPrice]]*amazon_store_sales_2022__1[[#This Row],[Quantity]]</f>
        <v>365.15999999999997</v>
      </c>
      <c r="K231">
        <f>amazon_store_sales_2022__1[[#This Row],[Total ]]*amazon_store_sales_2022__1[[#This Row],[Discount]]</f>
        <v>29.212799999999998</v>
      </c>
      <c r="L231" s="13">
        <f>amazon_store_sales_2022__1[[#This Row],[Total ]]-amazon_store_sales_2022__1[[#This Row],[Total Discount]]</f>
        <v>335.94719999999995</v>
      </c>
      <c r="M231">
        <f>YEAR(amazon_store_sales_2022__1[[#This Row],[OrderDate]])</f>
        <v>2022</v>
      </c>
      <c r="N231" t="str" cm="1">
        <f t="array" ref="N231">_xlfn.IFS(L231&lt;500," VeryLow",L231&lt;1000,"Low",L231&lt;2000,"Medium",L231&lt;3000,"High",L231&lt;5000,"VeryHigh")</f>
        <v xml:space="preserve"> VeryLow</v>
      </c>
      <c r="O231" t="str" cm="1">
        <f t="array" ref="O231">_xlfn.IFS(G231&lt;0.09,"Low",G231&lt;0.2,"Medium",G231&lt;0.4,"High")</f>
        <v>Low</v>
      </c>
    </row>
    <row r="232" spans="1:15" x14ac:dyDescent="0.3">
      <c r="A232">
        <v>10231</v>
      </c>
      <c r="B232" s="1">
        <v>44792</v>
      </c>
      <c r="C232">
        <v>2001</v>
      </c>
      <c r="D232" t="s">
        <v>9</v>
      </c>
      <c r="E232">
        <v>4</v>
      </c>
      <c r="F232">
        <v>389.12</v>
      </c>
      <c r="G232">
        <v>0.16</v>
      </c>
      <c r="H232" t="s">
        <v>17</v>
      </c>
      <c r="I232" t="s">
        <v>11</v>
      </c>
      <c r="J232">
        <f>amazon_store_sales_2022__1[[#This Row],[UnitPrice]]*amazon_store_sales_2022__1[[#This Row],[Quantity]]</f>
        <v>1556.48</v>
      </c>
      <c r="K232">
        <f>amazon_store_sales_2022__1[[#This Row],[Total ]]*amazon_store_sales_2022__1[[#This Row],[Discount]]</f>
        <v>249.0368</v>
      </c>
      <c r="L232" s="13">
        <f>amazon_store_sales_2022__1[[#This Row],[Total ]]-amazon_store_sales_2022__1[[#This Row],[Total Discount]]</f>
        <v>1307.4431999999999</v>
      </c>
      <c r="M232">
        <f>YEAR(amazon_store_sales_2022__1[[#This Row],[OrderDate]])</f>
        <v>2022</v>
      </c>
      <c r="N232" t="str" cm="1">
        <f t="array" ref="N232">_xlfn.IFS(L232&lt;500," VeryLow",L232&lt;1000,"Low",L232&lt;2000,"Medium",L232&lt;3000,"High",L232&lt;5000,"VeryHigh")</f>
        <v>Medium</v>
      </c>
      <c r="O232" t="str" cm="1">
        <f t="array" ref="O232">_xlfn.IFS(G232&lt;0.09,"Low",G232&lt;0.2,"Medium",G232&lt;0.4,"High")</f>
        <v>Medium</v>
      </c>
    </row>
    <row r="233" spans="1:15" x14ac:dyDescent="0.3">
      <c r="A233">
        <v>10232</v>
      </c>
      <c r="B233" s="1">
        <v>44793</v>
      </c>
      <c r="C233">
        <v>2019</v>
      </c>
      <c r="D233" t="s">
        <v>9</v>
      </c>
      <c r="E233">
        <v>2</v>
      </c>
      <c r="F233">
        <v>205.63</v>
      </c>
      <c r="G233">
        <v>0.22</v>
      </c>
      <c r="H233" t="s">
        <v>15</v>
      </c>
      <c r="I233" t="s">
        <v>11</v>
      </c>
      <c r="J233">
        <f>amazon_store_sales_2022__1[[#This Row],[UnitPrice]]*amazon_store_sales_2022__1[[#This Row],[Quantity]]</f>
        <v>411.26</v>
      </c>
      <c r="K233">
        <f>amazon_store_sales_2022__1[[#This Row],[Total ]]*amazon_store_sales_2022__1[[#This Row],[Discount]]</f>
        <v>90.477199999999996</v>
      </c>
      <c r="L233" s="13">
        <f>amazon_store_sales_2022__1[[#This Row],[Total ]]-amazon_store_sales_2022__1[[#This Row],[Total Discount]]</f>
        <v>320.78280000000001</v>
      </c>
      <c r="M233">
        <f>YEAR(amazon_store_sales_2022__1[[#This Row],[OrderDate]])</f>
        <v>2022</v>
      </c>
      <c r="N233" t="str" cm="1">
        <f t="array" ref="N233">_xlfn.IFS(L233&lt;500," VeryLow",L233&lt;1000,"Low",L233&lt;2000,"Medium",L233&lt;3000,"High",L233&lt;5000,"VeryHigh")</f>
        <v xml:space="preserve"> VeryLow</v>
      </c>
      <c r="O233" t="str" cm="1">
        <f t="array" ref="O233">_xlfn.IFS(G233&lt;0.09,"Low",G233&lt;0.2,"Medium",G233&lt;0.4,"High")</f>
        <v>High</v>
      </c>
    </row>
    <row r="234" spans="1:15" x14ac:dyDescent="0.3">
      <c r="A234">
        <v>10233</v>
      </c>
      <c r="B234" s="1">
        <v>44794</v>
      </c>
      <c r="C234">
        <v>2002</v>
      </c>
      <c r="D234" t="s">
        <v>16</v>
      </c>
      <c r="E234">
        <v>2</v>
      </c>
      <c r="F234">
        <v>302.92</v>
      </c>
      <c r="G234">
        <v>0.03</v>
      </c>
      <c r="H234" t="s">
        <v>20</v>
      </c>
      <c r="I234" t="s">
        <v>18</v>
      </c>
      <c r="J234">
        <f>amazon_store_sales_2022__1[[#This Row],[UnitPrice]]*amazon_store_sales_2022__1[[#This Row],[Quantity]]</f>
        <v>605.84</v>
      </c>
      <c r="K234">
        <f>amazon_store_sales_2022__1[[#This Row],[Total ]]*amazon_store_sales_2022__1[[#This Row],[Discount]]</f>
        <v>18.1752</v>
      </c>
      <c r="L234" s="13">
        <f>amazon_store_sales_2022__1[[#This Row],[Total ]]-amazon_store_sales_2022__1[[#This Row],[Total Discount]]</f>
        <v>587.66480000000001</v>
      </c>
      <c r="M234">
        <f>YEAR(amazon_store_sales_2022__1[[#This Row],[OrderDate]])</f>
        <v>2022</v>
      </c>
      <c r="N234" t="str" cm="1">
        <f t="array" ref="N234">_xlfn.IFS(L234&lt;500," VeryLow",L234&lt;1000,"Low",L234&lt;2000,"Medium",L234&lt;3000,"High",L234&lt;5000,"VeryHigh")</f>
        <v>Low</v>
      </c>
      <c r="O234" t="str" cm="1">
        <f t="array" ref="O234">_xlfn.IFS(G234&lt;0.09,"Low",G234&lt;0.2,"Medium",G234&lt;0.4,"High")</f>
        <v>Low</v>
      </c>
    </row>
    <row r="235" spans="1:15" x14ac:dyDescent="0.3">
      <c r="A235">
        <v>10234</v>
      </c>
      <c r="B235" s="1">
        <v>44795</v>
      </c>
      <c r="C235">
        <v>2053</v>
      </c>
      <c r="D235" t="s">
        <v>19</v>
      </c>
      <c r="E235">
        <v>1</v>
      </c>
      <c r="F235">
        <v>318.11</v>
      </c>
      <c r="G235">
        <v>0.21</v>
      </c>
      <c r="H235" t="s">
        <v>10</v>
      </c>
      <c r="I235" t="s">
        <v>18</v>
      </c>
      <c r="J235">
        <f>amazon_store_sales_2022__1[[#This Row],[UnitPrice]]*amazon_store_sales_2022__1[[#This Row],[Quantity]]</f>
        <v>318.11</v>
      </c>
      <c r="K235">
        <f>amazon_store_sales_2022__1[[#This Row],[Total ]]*amazon_store_sales_2022__1[[#This Row],[Discount]]</f>
        <v>66.803100000000001</v>
      </c>
      <c r="L235" s="13">
        <f>amazon_store_sales_2022__1[[#This Row],[Total ]]-amazon_store_sales_2022__1[[#This Row],[Total Discount]]</f>
        <v>251.30690000000001</v>
      </c>
      <c r="M235">
        <f>YEAR(amazon_store_sales_2022__1[[#This Row],[OrderDate]])</f>
        <v>2022</v>
      </c>
      <c r="N235" t="str" cm="1">
        <f t="array" ref="N235">_xlfn.IFS(L235&lt;500," VeryLow",L235&lt;1000,"Low",L235&lt;2000,"Medium",L235&lt;3000,"High",L235&lt;5000,"VeryHigh")</f>
        <v xml:space="preserve"> VeryLow</v>
      </c>
      <c r="O235" t="str" cm="1">
        <f t="array" ref="O235">_xlfn.IFS(G235&lt;0.09,"Low",G235&lt;0.2,"Medium",G235&lt;0.4,"High")</f>
        <v>High</v>
      </c>
    </row>
    <row r="236" spans="1:15" x14ac:dyDescent="0.3">
      <c r="A236">
        <v>10235</v>
      </c>
      <c r="B236" s="1">
        <v>44796</v>
      </c>
      <c r="C236">
        <v>2044</v>
      </c>
      <c r="D236" t="s">
        <v>9</v>
      </c>
      <c r="E236">
        <v>5</v>
      </c>
      <c r="F236">
        <v>189.56</v>
      </c>
      <c r="G236">
        <v>0.03</v>
      </c>
      <c r="H236" t="s">
        <v>15</v>
      </c>
      <c r="I236" t="s">
        <v>11</v>
      </c>
      <c r="J236">
        <f>amazon_store_sales_2022__1[[#This Row],[UnitPrice]]*amazon_store_sales_2022__1[[#This Row],[Quantity]]</f>
        <v>947.8</v>
      </c>
      <c r="K236">
        <f>amazon_store_sales_2022__1[[#This Row],[Total ]]*amazon_store_sales_2022__1[[#This Row],[Discount]]</f>
        <v>28.433999999999997</v>
      </c>
      <c r="L236" s="13">
        <f>amazon_store_sales_2022__1[[#This Row],[Total ]]-amazon_store_sales_2022__1[[#This Row],[Total Discount]]</f>
        <v>919.36599999999999</v>
      </c>
      <c r="M236">
        <f>YEAR(amazon_store_sales_2022__1[[#This Row],[OrderDate]])</f>
        <v>2022</v>
      </c>
      <c r="N236" t="str" cm="1">
        <f t="array" ref="N236">_xlfn.IFS(L236&lt;500," VeryLow",L236&lt;1000,"Low",L236&lt;2000,"Medium",L236&lt;3000,"High",L236&lt;5000,"VeryHigh")</f>
        <v>Low</v>
      </c>
      <c r="O236" t="str" cm="1">
        <f t="array" ref="O236">_xlfn.IFS(G236&lt;0.09,"Low",G236&lt;0.2,"Medium",G236&lt;0.4,"High")</f>
        <v>Low</v>
      </c>
    </row>
    <row r="237" spans="1:15" x14ac:dyDescent="0.3">
      <c r="A237">
        <v>10236</v>
      </c>
      <c r="B237" s="1">
        <v>44797</v>
      </c>
      <c r="C237">
        <v>2090</v>
      </c>
      <c r="D237" t="s">
        <v>14</v>
      </c>
      <c r="E237">
        <v>4</v>
      </c>
      <c r="F237">
        <v>258.74</v>
      </c>
      <c r="G237">
        <v>0.28999999999999998</v>
      </c>
      <c r="H237" t="s">
        <v>13</v>
      </c>
      <c r="I237" t="s">
        <v>18</v>
      </c>
      <c r="J237">
        <f>amazon_store_sales_2022__1[[#This Row],[UnitPrice]]*amazon_store_sales_2022__1[[#This Row],[Quantity]]</f>
        <v>1034.96</v>
      </c>
      <c r="K237">
        <f>amazon_store_sales_2022__1[[#This Row],[Total ]]*amazon_store_sales_2022__1[[#This Row],[Discount]]</f>
        <v>300.13839999999999</v>
      </c>
      <c r="L237" s="13">
        <f>amazon_store_sales_2022__1[[#This Row],[Total ]]-amazon_store_sales_2022__1[[#This Row],[Total Discount]]</f>
        <v>734.82159999999999</v>
      </c>
      <c r="M237">
        <f>YEAR(amazon_store_sales_2022__1[[#This Row],[OrderDate]])</f>
        <v>2022</v>
      </c>
      <c r="N237" t="str" cm="1">
        <f t="array" ref="N237">_xlfn.IFS(L237&lt;500," VeryLow",L237&lt;1000,"Low",L237&lt;2000,"Medium",L237&lt;3000,"High",L237&lt;5000,"VeryHigh")</f>
        <v>Low</v>
      </c>
      <c r="O237" t="str" cm="1">
        <f t="array" ref="O237">_xlfn.IFS(G237&lt;0.09,"Low",G237&lt;0.2,"Medium",G237&lt;0.4,"High")</f>
        <v>High</v>
      </c>
    </row>
    <row r="238" spans="1:15" x14ac:dyDescent="0.3">
      <c r="A238">
        <v>10237</v>
      </c>
      <c r="B238" s="1">
        <v>44798</v>
      </c>
      <c r="C238">
        <v>2032</v>
      </c>
      <c r="D238" t="s">
        <v>19</v>
      </c>
      <c r="E238">
        <v>2</v>
      </c>
      <c r="F238">
        <v>209.45</v>
      </c>
      <c r="G238">
        <v>0.15</v>
      </c>
      <c r="H238" t="s">
        <v>10</v>
      </c>
      <c r="I238" t="s">
        <v>11</v>
      </c>
      <c r="J238">
        <f>amazon_store_sales_2022__1[[#This Row],[UnitPrice]]*amazon_store_sales_2022__1[[#This Row],[Quantity]]</f>
        <v>418.9</v>
      </c>
      <c r="K238">
        <f>amazon_store_sales_2022__1[[#This Row],[Total ]]*amazon_store_sales_2022__1[[#This Row],[Discount]]</f>
        <v>62.834999999999994</v>
      </c>
      <c r="L238" s="13">
        <f>amazon_store_sales_2022__1[[#This Row],[Total ]]-amazon_store_sales_2022__1[[#This Row],[Total Discount]]</f>
        <v>356.065</v>
      </c>
      <c r="M238">
        <f>YEAR(amazon_store_sales_2022__1[[#This Row],[OrderDate]])</f>
        <v>2022</v>
      </c>
      <c r="N238" t="str" cm="1">
        <f t="array" ref="N238">_xlfn.IFS(L238&lt;500," VeryLow",L238&lt;1000,"Low",L238&lt;2000,"Medium",L238&lt;3000,"High",L238&lt;5000,"VeryHigh")</f>
        <v xml:space="preserve"> VeryLow</v>
      </c>
      <c r="O238" t="str" cm="1">
        <f t="array" ref="O238">_xlfn.IFS(G238&lt;0.09,"Low",G238&lt;0.2,"Medium",G238&lt;0.4,"High")</f>
        <v>Medium</v>
      </c>
    </row>
    <row r="239" spans="1:15" x14ac:dyDescent="0.3">
      <c r="A239">
        <v>10238</v>
      </c>
      <c r="B239" s="1">
        <v>44799</v>
      </c>
      <c r="C239">
        <v>2070</v>
      </c>
      <c r="D239" t="s">
        <v>19</v>
      </c>
      <c r="E239">
        <v>3</v>
      </c>
      <c r="F239">
        <v>39.22</v>
      </c>
      <c r="G239">
        <v>0.05</v>
      </c>
      <c r="H239" t="s">
        <v>20</v>
      </c>
      <c r="I239" t="s">
        <v>11</v>
      </c>
      <c r="J239">
        <f>amazon_store_sales_2022__1[[#This Row],[UnitPrice]]*amazon_store_sales_2022__1[[#This Row],[Quantity]]</f>
        <v>117.66</v>
      </c>
      <c r="K239">
        <f>amazon_store_sales_2022__1[[#This Row],[Total ]]*amazon_store_sales_2022__1[[#This Row],[Discount]]</f>
        <v>5.883</v>
      </c>
      <c r="L239" s="13">
        <f>amazon_store_sales_2022__1[[#This Row],[Total ]]-amazon_store_sales_2022__1[[#This Row],[Total Discount]]</f>
        <v>111.777</v>
      </c>
      <c r="M239">
        <f>YEAR(amazon_store_sales_2022__1[[#This Row],[OrderDate]])</f>
        <v>2022</v>
      </c>
      <c r="N239" t="str" cm="1">
        <f t="array" ref="N239">_xlfn.IFS(L239&lt;500," VeryLow",L239&lt;1000,"Low",L239&lt;2000,"Medium",L239&lt;3000,"High",L239&lt;5000,"VeryHigh")</f>
        <v xml:space="preserve"> VeryLow</v>
      </c>
      <c r="O239" t="str" cm="1">
        <f t="array" ref="O239">_xlfn.IFS(G239&lt;0.09,"Low",G239&lt;0.2,"Medium",G239&lt;0.4,"High")</f>
        <v>Low</v>
      </c>
    </row>
    <row r="240" spans="1:15" x14ac:dyDescent="0.3">
      <c r="A240">
        <v>10239</v>
      </c>
      <c r="B240" s="1">
        <v>44800</v>
      </c>
      <c r="C240">
        <v>2032</v>
      </c>
      <c r="D240" t="s">
        <v>19</v>
      </c>
      <c r="E240">
        <v>7</v>
      </c>
      <c r="F240">
        <v>221.4</v>
      </c>
      <c r="G240">
        <v>0.1</v>
      </c>
      <c r="H240" t="s">
        <v>15</v>
      </c>
      <c r="I240" t="s">
        <v>18</v>
      </c>
      <c r="J240">
        <f>amazon_store_sales_2022__1[[#This Row],[UnitPrice]]*amazon_store_sales_2022__1[[#This Row],[Quantity]]</f>
        <v>1549.8</v>
      </c>
      <c r="K240">
        <f>amazon_store_sales_2022__1[[#This Row],[Total ]]*amazon_store_sales_2022__1[[#This Row],[Discount]]</f>
        <v>154.98000000000002</v>
      </c>
      <c r="L240" s="13">
        <f>amazon_store_sales_2022__1[[#This Row],[Total ]]-amazon_store_sales_2022__1[[#This Row],[Total Discount]]</f>
        <v>1394.82</v>
      </c>
      <c r="M240">
        <f>YEAR(amazon_store_sales_2022__1[[#This Row],[OrderDate]])</f>
        <v>2022</v>
      </c>
      <c r="N240" t="str" cm="1">
        <f t="array" ref="N240">_xlfn.IFS(L240&lt;500," VeryLow",L240&lt;1000,"Low",L240&lt;2000,"Medium",L240&lt;3000,"High",L240&lt;5000,"VeryHigh")</f>
        <v>Medium</v>
      </c>
      <c r="O240" t="str" cm="1">
        <f t="array" ref="O240">_xlfn.IFS(G240&lt;0.09,"Low",G240&lt;0.2,"Medium",G240&lt;0.4,"High")</f>
        <v>Medium</v>
      </c>
    </row>
    <row r="241" spans="1:15" x14ac:dyDescent="0.3">
      <c r="A241">
        <v>10240</v>
      </c>
      <c r="B241" s="1">
        <v>44801</v>
      </c>
      <c r="C241">
        <v>2068</v>
      </c>
      <c r="D241" t="s">
        <v>16</v>
      </c>
      <c r="E241">
        <v>7</v>
      </c>
      <c r="F241">
        <v>53.21</v>
      </c>
      <c r="G241">
        <v>0.12</v>
      </c>
      <c r="H241" t="s">
        <v>10</v>
      </c>
      <c r="I241" t="s">
        <v>11</v>
      </c>
      <c r="J241">
        <f>amazon_store_sales_2022__1[[#This Row],[UnitPrice]]*amazon_store_sales_2022__1[[#This Row],[Quantity]]</f>
        <v>372.47</v>
      </c>
      <c r="K241">
        <f>amazon_store_sales_2022__1[[#This Row],[Total ]]*amazon_store_sales_2022__1[[#This Row],[Discount]]</f>
        <v>44.696400000000004</v>
      </c>
      <c r="L241" s="13">
        <f>amazon_store_sales_2022__1[[#This Row],[Total ]]-amazon_store_sales_2022__1[[#This Row],[Total Discount]]</f>
        <v>327.77360000000004</v>
      </c>
      <c r="M241">
        <f>YEAR(amazon_store_sales_2022__1[[#This Row],[OrderDate]])</f>
        <v>2022</v>
      </c>
      <c r="N241" t="str" cm="1">
        <f t="array" ref="N241">_xlfn.IFS(L241&lt;500," VeryLow",L241&lt;1000,"Low",L241&lt;2000,"Medium",L241&lt;3000,"High",L241&lt;5000,"VeryHigh")</f>
        <v xml:space="preserve"> VeryLow</v>
      </c>
      <c r="O241" t="str" cm="1">
        <f t="array" ref="O241">_xlfn.IFS(G241&lt;0.09,"Low",G241&lt;0.2,"Medium",G241&lt;0.4,"High")</f>
        <v>Medium</v>
      </c>
    </row>
    <row r="242" spans="1:15" x14ac:dyDescent="0.3">
      <c r="A242">
        <v>10241</v>
      </c>
      <c r="B242" s="1">
        <v>44802</v>
      </c>
      <c r="C242">
        <v>2055</v>
      </c>
      <c r="D242" t="s">
        <v>9</v>
      </c>
      <c r="E242">
        <v>4</v>
      </c>
      <c r="F242">
        <v>205.49</v>
      </c>
      <c r="G242">
        <v>0.23</v>
      </c>
      <c r="H242" t="s">
        <v>15</v>
      </c>
      <c r="I242" t="s">
        <v>11</v>
      </c>
      <c r="J242">
        <f>amazon_store_sales_2022__1[[#This Row],[UnitPrice]]*amazon_store_sales_2022__1[[#This Row],[Quantity]]</f>
        <v>821.96</v>
      </c>
      <c r="K242">
        <f>amazon_store_sales_2022__1[[#This Row],[Total ]]*amazon_store_sales_2022__1[[#This Row],[Discount]]</f>
        <v>189.05080000000001</v>
      </c>
      <c r="L242" s="13">
        <f>amazon_store_sales_2022__1[[#This Row],[Total ]]-amazon_store_sales_2022__1[[#This Row],[Total Discount]]</f>
        <v>632.90920000000006</v>
      </c>
      <c r="M242">
        <f>YEAR(amazon_store_sales_2022__1[[#This Row],[OrderDate]])</f>
        <v>2022</v>
      </c>
      <c r="N242" t="str" cm="1">
        <f t="array" ref="N242">_xlfn.IFS(L242&lt;500," VeryLow",L242&lt;1000,"Low",L242&lt;2000,"Medium",L242&lt;3000,"High",L242&lt;5000,"VeryHigh")</f>
        <v>Low</v>
      </c>
      <c r="O242" t="str" cm="1">
        <f t="array" ref="O242">_xlfn.IFS(G242&lt;0.09,"Low",G242&lt;0.2,"Medium",G242&lt;0.4,"High")</f>
        <v>High</v>
      </c>
    </row>
    <row r="243" spans="1:15" x14ac:dyDescent="0.3">
      <c r="A243">
        <v>10242</v>
      </c>
      <c r="B243" s="1">
        <v>44803</v>
      </c>
      <c r="C243">
        <v>2075</v>
      </c>
      <c r="D243" t="s">
        <v>16</v>
      </c>
      <c r="E243">
        <v>5</v>
      </c>
      <c r="F243">
        <v>298.49</v>
      </c>
      <c r="G243">
        <v>0.22</v>
      </c>
      <c r="H243" t="s">
        <v>15</v>
      </c>
      <c r="I243" t="s">
        <v>18</v>
      </c>
      <c r="J243">
        <f>amazon_store_sales_2022__1[[#This Row],[UnitPrice]]*amazon_store_sales_2022__1[[#This Row],[Quantity]]</f>
        <v>1492.45</v>
      </c>
      <c r="K243">
        <f>amazon_store_sales_2022__1[[#This Row],[Total ]]*amazon_store_sales_2022__1[[#This Row],[Discount]]</f>
        <v>328.339</v>
      </c>
      <c r="L243" s="13">
        <f>amazon_store_sales_2022__1[[#This Row],[Total ]]-amazon_store_sales_2022__1[[#This Row],[Total Discount]]</f>
        <v>1164.1110000000001</v>
      </c>
      <c r="M243">
        <f>YEAR(amazon_store_sales_2022__1[[#This Row],[OrderDate]])</f>
        <v>2022</v>
      </c>
      <c r="N243" t="str" cm="1">
        <f t="array" ref="N243">_xlfn.IFS(L243&lt;500," VeryLow",L243&lt;1000,"Low",L243&lt;2000,"Medium",L243&lt;3000,"High",L243&lt;5000,"VeryHigh")</f>
        <v>Medium</v>
      </c>
      <c r="O243" t="str" cm="1">
        <f t="array" ref="O243">_xlfn.IFS(G243&lt;0.09,"Low",G243&lt;0.2,"Medium",G243&lt;0.4,"High")</f>
        <v>High</v>
      </c>
    </row>
    <row r="244" spans="1:15" x14ac:dyDescent="0.3">
      <c r="A244">
        <v>10243</v>
      </c>
      <c r="B244" s="1">
        <v>44804</v>
      </c>
      <c r="C244">
        <v>2056</v>
      </c>
      <c r="D244" t="s">
        <v>9</v>
      </c>
      <c r="E244">
        <v>5</v>
      </c>
      <c r="F244">
        <v>291.81</v>
      </c>
      <c r="G244">
        <v>0.18</v>
      </c>
      <c r="H244" t="s">
        <v>20</v>
      </c>
      <c r="I244" t="s">
        <v>18</v>
      </c>
      <c r="J244">
        <f>amazon_store_sales_2022__1[[#This Row],[UnitPrice]]*amazon_store_sales_2022__1[[#This Row],[Quantity]]</f>
        <v>1459.05</v>
      </c>
      <c r="K244">
        <f>amazon_store_sales_2022__1[[#This Row],[Total ]]*amazon_store_sales_2022__1[[#This Row],[Discount]]</f>
        <v>262.62899999999996</v>
      </c>
      <c r="L244" s="13">
        <f>amazon_store_sales_2022__1[[#This Row],[Total ]]-amazon_store_sales_2022__1[[#This Row],[Total Discount]]</f>
        <v>1196.421</v>
      </c>
      <c r="M244">
        <f>YEAR(amazon_store_sales_2022__1[[#This Row],[OrderDate]])</f>
        <v>2022</v>
      </c>
      <c r="N244" t="str" cm="1">
        <f t="array" ref="N244">_xlfn.IFS(L244&lt;500," VeryLow",L244&lt;1000,"Low",L244&lt;2000,"Medium",L244&lt;3000,"High",L244&lt;5000,"VeryHigh")</f>
        <v>Medium</v>
      </c>
      <c r="O244" t="str" cm="1">
        <f t="array" ref="O244">_xlfn.IFS(G244&lt;0.09,"Low",G244&lt;0.2,"Medium",G244&lt;0.4,"High")</f>
        <v>Medium</v>
      </c>
    </row>
    <row r="245" spans="1:15" x14ac:dyDescent="0.3">
      <c r="A245">
        <v>10244</v>
      </c>
      <c r="B245" s="1">
        <v>44805</v>
      </c>
      <c r="C245">
        <v>2017</v>
      </c>
      <c r="D245" t="s">
        <v>16</v>
      </c>
      <c r="E245">
        <v>6</v>
      </c>
      <c r="F245">
        <v>333</v>
      </c>
      <c r="G245">
        <v>0.03</v>
      </c>
      <c r="H245" t="s">
        <v>17</v>
      </c>
      <c r="I245" t="s">
        <v>18</v>
      </c>
      <c r="J245">
        <f>amazon_store_sales_2022__1[[#This Row],[UnitPrice]]*amazon_store_sales_2022__1[[#This Row],[Quantity]]</f>
        <v>1998</v>
      </c>
      <c r="K245">
        <f>amazon_store_sales_2022__1[[#This Row],[Total ]]*amazon_store_sales_2022__1[[#This Row],[Discount]]</f>
        <v>59.94</v>
      </c>
      <c r="L245" s="13">
        <f>amazon_store_sales_2022__1[[#This Row],[Total ]]-amazon_store_sales_2022__1[[#This Row],[Total Discount]]</f>
        <v>1938.06</v>
      </c>
      <c r="M245">
        <f>YEAR(amazon_store_sales_2022__1[[#This Row],[OrderDate]])</f>
        <v>2022</v>
      </c>
      <c r="N245" t="str" cm="1">
        <f t="array" ref="N245">_xlfn.IFS(L245&lt;500," VeryLow",L245&lt;1000,"Low",L245&lt;2000,"Medium",L245&lt;3000,"High",L245&lt;5000,"VeryHigh")</f>
        <v>Medium</v>
      </c>
      <c r="O245" t="str" cm="1">
        <f t="array" ref="O245">_xlfn.IFS(G245&lt;0.09,"Low",G245&lt;0.2,"Medium",G245&lt;0.4,"High")</f>
        <v>Low</v>
      </c>
    </row>
    <row r="246" spans="1:15" x14ac:dyDescent="0.3">
      <c r="A246">
        <v>10245</v>
      </c>
      <c r="B246" s="1">
        <v>44806</v>
      </c>
      <c r="C246">
        <v>2038</v>
      </c>
      <c r="D246" t="s">
        <v>16</v>
      </c>
      <c r="E246">
        <v>9</v>
      </c>
      <c r="F246">
        <v>52.15</v>
      </c>
      <c r="G246">
        <v>0.05</v>
      </c>
      <c r="H246" t="s">
        <v>10</v>
      </c>
      <c r="I246" t="s">
        <v>11</v>
      </c>
      <c r="J246">
        <f>amazon_store_sales_2022__1[[#This Row],[UnitPrice]]*amazon_store_sales_2022__1[[#This Row],[Quantity]]</f>
        <v>469.34999999999997</v>
      </c>
      <c r="K246">
        <f>amazon_store_sales_2022__1[[#This Row],[Total ]]*amazon_store_sales_2022__1[[#This Row],[Discount]]</f>
        <v>23.467500000000001</v>
      </c>
      <c r="L246" s="13">
        <f>amazon_store_sales_2022__1[[#This Row],[Total ]]-amazon_store_sales_2022__1[[#This Row],[Total Discount]]</f>
        <v>445.88249999999994</v>
      </c>
      <c r="M246">
        <f>YEAR(amazon_store_sales_2022__1[[#This Row],[OrderDate]])</f>
        <v>2022</v>
      </c>
      <c r="N246" t="str" cm="1">
        <f t="array" ref="N246">_xlfn.IFS(L246&lt;500," VeryLow",L246&lt;1000,"Low",L246&lt;2000,"Medium",L246&lt;3000,"High",L246&lt;5000,"VeryHigh")</f>
        <v xml:space="preserve"> VeryLow</v>
      </c>
      <c r="O246" t="str" cm="1">
        <f t="array" ref="O246">_xlfn.IFS(G246&lt;0.09,"Low",G246&lt;0.2,"Medium",G246&lt;0.4,"High")</f>
        <v>Low</v>
      </c>
    </row>
    <row r="247" spans="1:15" x14ac:dyDescent="0.3">
      <c r="A247">
        <v>10246</v>
      </c>
      <c r="B247" s="1">
        <v>44807</v>
      </c>
      <c r="C247">
        <v>2024</v>
      </c>
      <c r="D247" t="s">
        <v>14</v>
      </c>
      <c r="E247">
        <v>2</v>
      </c>
      <c r="F247">
        <v>327.8</v>
      </c>
      <c r="G247">
        <v>0.03</v>
      </c>
      <c r="H247" t="s">
        <v>20</v>
      </c>
      <c r="I247" t="s">
        <v>18</v>
      </c>
      <c r="J247">
        <f>amazon_store_sales_2022__1[[#This Row],[UnitPrice]]*amazon_store_sales_2022__1[[#This Row],[Quantity]]</f>
        <v>655.6</v>
      </c>
      <c r="K247">
        <f>amazon_store_sales_2022__1[[#This Row],[Total ]]*amazon_store_sales_2022__1[[#This Row],[Discount]]</f>
        <v>19.667999999999999</v>
      </c>
      <c r="L247" s="13">
        <f>amazon_store_sales_2022__1[[#This Row],[Total ]]-amazon_store_sales_2022__1[[#This Row],[Total Discount]]</f>
        <v>635.93200000000002</v>
      </c>
      <c r="M247">
        <f>YEAR(amazon_store_sales_2022__1[[#This Row],[OrderDate]])</f>
        <v>2022</v>
      </c>
      <c r="N247" t="str" cm="1">
        <f t="array" ref="N247">_xlfn.IFS(L247&lt;500," VeryLow",L247&lt;1000,"Low",L247&lt;2000,"Medium",L247&lt;3000,"High",L247&lt;5000,"VeryHigh")</f>
        <v>Low</v>
      </c>
      <c r="O247" t="str" cm="1">
        <f t="array" ref="O247">_xlfn.IFS(G247&lt;0.09,"Low",G247&lt;0.2,"Medium",G247&lt;0.4,"High")</f>
        <v>Low</v>
      </c>
    </row>
    <row r="248" spans="1:15" x14ac:dyDescent="0.3">
      <c r="A248">
        <v>10247</v>
      </c>
      <c r="B248" s="1">
        <v>44808</v>
      </c>
      <c r="C248">
        <v>2069</v>
      </c>
      <c r="D248" t="s">
        <v>16</v>
      </c>
      <c r="E248">
        <v>5</v>
      </c>
      <c r="F248">
        <v>159.51</v>
      </c>
      <c r="G248">
        <v>0.17</v>
      </c>
      <c r="H248" t="s">
        <v>15</v>
      </c>
      <c r="I248" t="s">
        <v>18</v>
      </c>
      <c r="J248">
        <f>amazon_store_sales_2022__1[[#This Row],[UnitPrice]]*amazon_store_sales_2022__1[[#This Row],[Quantity]]</f>
        <v>797.55</v>
      </c>
      <c r="K248">
        <f>amazon_store_sales_2022__1[[#This Row],[Total ]]*amazon_store_sales_2022__1[[#This Row],[Discount]]</f>
        <v>135.58350000000002</v>
      </c>
      <c r="L248" s="13">
        <f>amazon_store_sales_2022__1[[#This Row],[Total ]]-amazon_store_sales_2022__1[[#This Row],[Total Discount]]</f>
        <v>661.9665</v>
      </c>
      <c r="M248">
        <f>YEAR(amazon_store_sales_2022__1[[#This Row],[OrderDate]])</f>
        <v>2022</v>
      </c>
      <c r="N248" t="str" cm="1">
        <f t="array" ref="N248">_xlfn.IFS(L248&lt;500," VeryLow",L248&lt;1000,"Low",L248&lt;2000,"Medium",L248&lt;3000,"High",L248&lt;5000,"VeryHigh")</f>
        <v>Low</v>
      </c>
      <c r="O248" t="str" cm="1">
        <f t="array" ref="O248">_xlfn.IFS(G248&lt;0.09,"Low",G248&lt;0.2,"Medium",G248&lt;0.4,"High")</f>
        <v>Medium</v>
      </c>
    </row>
    <row r="249" spans="1:15" x14ac:dyDescent="0.3">
      <c r="A249">
        <v>10248</v>
      </c>
      <c r="B249" s="1">
        <v>44809</v>
      </c>
      <c r="C249">
        <v>2098</v>
      </c>
      <c r="D249" t="s">
        <v>12</v>
      </c>
      <c r="E249">
        <v>3</v>
      </c>
      <c r="F249">
        <v>202.53</v>
      </c>
      <c r="G249">
        <v>0.26</v>
      </c>
      <c r="H249" t="s">
        <v>20</v>
      </c>
      <c r="I249" t="s">
        <v>18</v>
      </c>
      <c r="J249">
        <f>amazon_store_sales_2022__1[[#This Row],[UnitPrice]]*amazon_store_sales_2022__1[[#This Row],[Quantity]]</f>
        <v>607.59</v>
      </c>
      <c r="K249">
        <f>amazon_store_sales_2022__1[[#This Row],[Total ]]*amazon_store_sales_2022__1[[#This Row],[Discount]]</f>
        <v>157.97340000000003</v>
      </c>
      <c r="L249" s="13">
        <f>amazon_store_sales_2022__1[[#This Row],[Total ]]-amazon_store_sales_2022__1[[#This Row],[Total Discount]]</f>
        <v>449.61660000000001</v>
      </c>
      <c r="M249">
        <f>YEAR(amazon_store_sales_2022__1[[#This Row],[OrderDate]])</f>
        <v>2022</v>
      </c>
      <c r="N249" t="str" cm="1">
        <f t="array" ref="N249">_xlfn.IFS(L249&lt;500," VeryLow",L249&lt;1000,"Low",L249&lt;2000,"Medium",L249&lt;3000,"High",L249&lt;5000,"VeryHigh")</f>
        <v xml:space="preserve"> VeryLow</v>
      </c>
      <c r="O249" t="str" cm="1">
        <f t="array" ref="O249">_xlfn.IFS(G249&lt;0.09,"Low",G249&lt;0.2,"Medium",G249&lt;0.4,"High")</f>
        <v>High</v>
      </c>
    </row>
    <row r="250" spans="1:15" x14ac:dyDescent="0.3">
      <c r="A250">
        <v>10249</v>
      </c>
      <c r="B250" s="1">
        <v>44810</v>
      </c>
      <c r="C250">
        <v>2070</v>
      </c>
      <c r="D250" t="s">
        <v>14</v>
      </c>
      <c r="E250">
        <v>4</v>
      </c>
      <c r="F250">
        <v>429.7</v>
      </c>
      <c r="G250">
        <v>0.13</v>
      </c>
      <c r="H250" t="s">
        <v>17</v>
      </c>
      <c r="I250" t="s">
        <v>18</v>
      </c>
      <c r="J250">
        <f>amazon_store_sales_2022__1[[#This Row],[UnitPrice]]*amazon_store_sales_2022__1[[#This Row],[Quantity]]</f>
        <v>1718.8</v>
      </c>
      <c r="K250">
        <f>amazon_store_sales_2022__1[[#This Row],[Total ]]*amazon_store_sales_2022__1[[#This Row],[Discount]]</f>
        <v>223.44399999999999</v>
      </c>
      <c r="L250" s="13">
        <f>amazon_store_sales_2022__1[[#This Row],[Total ]]-amazon_store_sales_2022__1[[#This Row],[Total Discount]]</f>
        <v>1495.356</v>
      </c>
      <c r="M250">
        <f>YEAR(amazon_store_sales_2022__1[[#This Row],[OrderDate]])</f>
        <v>2022</v>
      </c>
      <c r="N250" t="str" cm="1">
        <f t="array" ref="N250">_xlfn.IFS(L250&lt;500," VeryLow",L250&lt;1000,"Low",L250&lt;2000,"Medium",L250&lt;3000,"High",L250&lt;5000,"VeryHigh")</f>
        <v>Medium</v>
      </c>
      <c r="O250" t="str" cm="1">
        <f t="array" ref="O250">_xlfn.IFS(G250&lt;0.09,"Low",G250&lt;0.2,"Medium",G250&lt;0.4,"High")</f>
        <v>Medium</v>
      </c>
    </row>
    <row r="251" spans="1:15" x14ac:dyDescent="0.3">
      <c r="A251">
        <v>10250</v>
      </c>
      <c r="B251" s="1">
        <v>44811</v>
      </c>
      <c r="C251">
        <v>2086</v>
      </c>
      <c r="D251" t="s">
        <v>16</v>
      </c>
      <c r="E251">
        <v>6</v>
      </c>
      <c r="F251">
        <v>9.4700000000000006</v>
      </c>
      <c r="G251">
        <v>0.05</v>
      </c>
      <c r="H251" t="s">
        <v>10</v>
      </c>
      <c r="I251" t="s">
        <v>11</v>
      </c>
      <c r="J251">
        <f>amazon_store_sales_2022__1[[#This Row],[UnitPrice]]*amazon_store_sales_2022__1[[#This Row],[Quantity]]</f>
        <v>56.820000000000007</v>
      </c>
      <c r="K251">
        <f>amazon_store_sales_2022__1[[#This Row],[Total ]]*amazon_store_sales_2022__1[[#This Row],[Discount]]</f>
        <v>2.8410000000000006</v>
      </c>
      <c r="L251" s="13">
        <f>amazon_store_sales_2022__1[[#This Row],[Total ]]-amazon_store_sales_2022__1[[#This Row],[Total Discount]]</f>
        <v>53.979000000000006</v>
      </c>
      <c r="M251">
        <f>YEAR(amazon_store_sales_2022__1[[#This Row],[OrderDate]])</f>
        <v>2022</v>
      </c>
      <c r="N251" t="str" cm="1">
        <f t="array" ref="N251">_xlfn.IFS(L251&lt;500," VeryLow",L251&lt;1000,"Low",L251&lt;2000,"Medium",L251&lt;3000,"High",L251&lt;5000,"VeryHigh")</f>
        <v xml:space="preserve"> VeryLow</v>
      </c>
      <c r="O251" t="str" cm="1">
        <f t="array" ref="O251">_xlfn.IFS(G251&lt;0.09,"Low",G251&lt;0.2,"Medium",G251&lt;0.4,"High")</f>
        <v>Low</v>
      </c>
    </row>
    <row r="252" spans="1:15" x14ac:dyDescent="0.3">
      <c r="A252">
        <v>10251</v>
      </c>
      <c r="B252" s="1">
        <v>44812</v>
      </c>
      <c r="C252">
        <v>2011</v>
      </c>
      <c r="D252" t="s">
        <v>19</v>
      </c>
      <c r="E252">
        <v>8</v>
      </c>
      <c r="F252">
        <v>296.26</v>
      </c>
      <c r="G252">
        <v>0.17</v>
      </c>
      <c r="H252" t="s">
        <v>17</v>
      </c>
      <c r="I252" t="s">
        <v>11</v>
      </c>
      <c r="J252">
        <f>amazon_store_sales_2022__1[[#This Row],[UnitPrice]]*amazon_store_sales_2022__1[[#This Row],[Quantity]]</f>
        <v>2370.08</v>
      </c>
      <c r="K252">
        <f>amazon_store_sales_2022__1[[#This Row],[Total ]]*amazon_store_sales_2022__1[[#This Row],[Discount]]</f>
        <v>402.91360000000003</v>
      </c>
      <c r="L252" s="13">
        <f>amazon_store_sales_2022__1[[#This Row],[Total ]]-amazon_store_sales_2022__1[[#This Row],[Total Discount]]</f>
        <v>1967.1663999999998</v>
      </c>
      <c r="M252">
        <f>YEAR(amazon_store_sales_2022__1[[#This Row],[OrderDate]])</f>
        <v>2022</v>
      </c>
      <c r="N252" t="str" cm="1">
        <f t="array" ref="N252">_xlfn.IFS(L252&lt;500," VeryLow",L252&lt;1000,"Low",L252&lt;2000,"Medium",L252&lt;3000,"High",L252&lt;5000,"VeryHigh")</f>
        <v>Medium</v>
      </c>
      <c r="O252" t="str" cm="1">
        <f t="array" ref="O252">_xlfn.IFS(G252&lt;0.09,"Low",G252&lt;0.2,"Medium",G252&lt;0.4,"High")</f>
        <v>Medium</v>
      </c>
    </row>
    <row r="253" spans="1:15" x14ac:dyDescent="0.3">
      <c r="A253">
        <v>10252</v>
      </c>
      <c r="B253" s="1">
        <v>44813</v>
      </c>
      <c r="C253">
        <v>2016</v>
      </c>
      <c r="D253" t="s">
        <v>12</v>
      </c>
      <c r="E253">
        <v>1</v>
      </c>
      <c r="F253">
        <v>301.36</v>
      </c>
      <c r="G253">
        <v>0.24</v>
      </c>
      <c r="H253" t="s">
        <v>13</v>
      </c>
      <c r="I253" t="s">
        <v>18</v>
      </c>
      <c r="J253">
        <f>amazon_store_sales_2022__1[[#This Row],[UnitPrice]]*amazon_store_sales_2022__1[[#This Row],[Quantity]]</f>
        <v>301.36</v>
      </c>
      <c r="K253">
        <f>amazon_store_sales_2022__1[[#This Row],[Total ]]*amazon_store_sales_2022__1[[#This Row],[Discount]]</f>
        <v>72.326400000000007</v>
      </c>
      <c r="L253" s="13">
        <f>amazon_store_sales_2022__1[[#This Row],[Total ]]-amazon_store_sales_2022__1[[#This Row],[Total Discount]]</f>
        <v>229.03360000000001</v>
      </c>
      <c r="M253">
        <f>YEAR(amazon_store_sales_2022__1[[#This Row],[OrderDate]])</f>
        <v>2022</v>
      </c>
      <c r="N253" t="str" cm="1">
        <f t="array" ref="N253">_xlfn.IFS(L253&lt;500," VeryLow",L253&lt;1000,"Low",L253&lt;2000,"Medium",L253&lt;3000,"High",L253&lt;5000,"VeryHigh")</f>
        <v xml:space="preserve"> VeryLow</v>
      </c>
      <c r="O253" t="str" cm="1">
        <f t="array" ref="O253">_xlfn.IFS(G253&lt;0.09,"Low",G253&lt;0.2,"Medium",G253&lt;0.4,"High")</f>
        <v>High</v>
      </c>
    </row>
    <row r="254" spans="1:15" x14ac:dyDescent="0.3">
      <c r="A254">
        <v>10253</v>
      </c>
      <c r="B254" s="1">
        <v>44814</v>
      </c>
      <c r="C254">
        <v>2097</v>
      </c>
      <c r="D254" t="s">
        <v>12</v>
      </c>
      <c r="E254">
        <v>8</v>
      </c>
      <c r="F254">
        <v>201.35</v>
      </c>
      <c r="G254">
        <v>0.22</v>
      </c>
      <c r="H254" t="s">
        <v>10</v>
      </c>
      <c r="I254" t="s">
        <v>11</v>
      </c>
      <c r="J254">
        <f>amazon_store_sales_2022__1[[#This Row],[UnitPrice]]*amazon_store_sales_2022__1[[#This Row],[Quantity]]</f>
        <v>1610.8</v>
      </c>
      <c r="K254">
        <f>amazon_store_sales_2022__1[[#This Row],[Total ]]*amazon_store_sales_2022__1[[#This Row],[Discount]]</f>
        <v>354.37599999999998</v>
      </c>
      <c r="L254" s="13">
        <f>amazon_store_sales_2022__1[[#This Row],[Total ]]-amazon_store_sales_2022__1[[#This Row],[Total Discount]]</f>
        <v>1256.424</v>
      </c>
      <c r="M254">
        <f>YEAR(amazon_store_sales_2022__1[[#This Row],[OrderDate]])</f>
        <v>2022</v>
      </c>
      <c r="N254" t="str" cm="1">
        <f t="array" ref="N254">_xlfn.IFS(L254&lt;500," VeryLow",L254&lt;1000,"Low",L254&lt;2000,"Medium",L254&lt;3000,"High",L254&lt;5000,"VeryHigh")</f>
        <v>Medium</v>
      </c>
      <c r="O254" t="str" cm="1">
        <f t="array" ref="O254">_xlfn.IFS(G254&lt;0.09,"Low",G254&lt;0.2,"Medium",G254&lt;0.4,"High")</f>
        <v>High</v>
      </c>
    </row>
    <row r="255" spans="1:15" x14ac:dyDescent="0.3">
      <c r="A255">
        <v>10254</v>
      </c>
      <c r="B255" s="1">
        <v>44815</v>
      </c>
      <c r="C255">
        <v>2073</v>
      </c>
      <c r="D255" t="s">
        <v>12</v>
      </c>
      <c r="E255">
        <v>7</v>
      </c>
      <c r="F255">
        <v>122.33</v>
      </c>
      <c r="G255">
        <v>0.26</v>
      </c>
      <c r="H255" t="s">
        <v>17</v>
      </c>
      <c r="I255" t="s">
        <v>18</v>
      </c>
      <c r="J255">
        <f>amazon_store_sales_2022__1[[#This Row],[UnitPrice]]*amazon_store_sales_2022__1[[#This Row],[Quantity]]</f>
        <v>856.31</v>
      </c>
      <c r="K255">
        <f>amazon_store_sales_2022__1[[#This Row],[Total ]]*amazon_store_sales_2022__1[[#This Row],[Discount]]</f>
        <v>222.64060000000001</v>
      </c>
      <c r="L255" s="13">
        <f>amazon_store_sales_2022__1[[#This Row],[Total ]]-amazon_store_sales_2022__1[[#This Row],[Total Discount]]</f>
        <v>633.6694</v>
      </c>
      <c r="M255">
        <f>YEAR(amazon_store_sales_2022__1[[#This Row],[OrderDate]])</f>
        <v>2022</v>
      </c>
      <c r="N255" t="str" cm="1">
        <f t="array" ref="N255">_xlfn.IFS(L255&lt;500," VeryLow",L255&lt;1000,"Low",L255&lt;2000,"Medium",L255&lt;3000,"High",L255&lt;5000,"VeryHigh")</f>
        <v>Low</v>
      </c>
      <c r="O255" t="str" cm="1">
        <f t="array" ref="O255">_xlfn.IFS(G255&lt;0.09,"Low",G255&lt;0.2,"Medium",G255&lt;0.4,"High")</f>
        <v>High</v>
      </c>
    </row>
    <row r="256" spans="1:15" x14ac:dyDescent="0.3">
      <c r="A256">
        <v>10255</v>
      </c>
      <c r="B256" s="1">
        <v>44816</v>
      </c>
      <c r="C256">
        <v>2059</v>
      </c>
      <c r="D256" t="s">
        <v>14</v>
      </c>
      <c r="E256">
        <v>1</v>
      </c>
      <c r="F256">
        <v>121.16</v>
      </c>
      <c r="G256">
        <v>0.08</v>
      </c>
      <c r="H256" t="s">
        <v>15</v>
      </c>
      <c r="I256" t="s">
        <v>18</v>
      </c>
      <c r="J256">
        <f>amazon_store_sales_2022__1[[#This Row],[UnitPrice]]*amazon_store_sales_2022__1[[#This Row],[Quantity]]</f>
        <v>121.16</v>
      </c>
      <c r="K256">
        <f>amazon_store_sales_2022__1[[#This Row],[Total ]]*amazon_store_sales_2022__1[[#This Row],[Discount]]</f>
        <v>9.6928000000000001</v>
      </c>
      <c r="L256" s="13">
        <f>amazon_store_sales_2022__1[[#This Row],[Total ]]-amazon_store_sales_2022__1[[#This Row],[Total Discount]]</f>
        <v>111.46719999999999</v>
      </c>
      <c r="M256">
        <f>YEAR(amazon_store_sales_2022__1[[#This Row],[OrderDate]])</f>
        <v>2022</v>
      </c>
      <c r="N256" t="str" cm="1">
        <f t="array" ref="N256">_xlfn.IFS(L256&lt;500," VeryLow",L256&lt;1000,"Low",L256&lt;2000,"Medium",L256&lt;3000,"High",L256&lt;5000,"VeryHigh")</f>
        <v xml:space="preserve"> VeryLow</v>
      </c>
      <c r="O256" t="str" cm="1">
        <f t="array" ref="O256">_xlfn.IFS(G256&lt;0.09,"Low",G256&lt;0.2,"Medium",G256&lt;0.4,"High")</f>
        <v>Low</v>
      </c>
    </row>
    <row r="257" spans="1:15" x14ac:dyDescent="0.3">
      <c r="A257">
        <v>10256</v>
      </c>
      <c r="B257" s="1">
        <v>44817</v>
      </c>
      <c r="C257">
        <v>2070</v>
      </c>
      <c r="D257" t="s">
        <v>16</v>
      </c>
      <c r="E257">
        <v>2</v>
      </c>
      <c r="F257">
        <v>442.44</v>
      </c>
      <c r="G257">
        <v>0.06</v>
      </c>
      <c r="H257" t="s">
        <v>10</v>
      </c>
      <c r="I257" t="s">
        <v>11</v>
      </c>
      <c r="J257">
        <f>amazon_store_sales_2022__1[[#This Row],[UnitPrice]]*amazon_store_sales_2022__1[[#This Row],[Quantity]]</f>
        <v>884.88</v>
      </c>
      <c r="K257">
        <f>amazon_store_sales_2022__1[[#This Row],[Total ]]*amazon_store_sales_2022__1[[#This Row],[Discount]]</f>
        <v>53.092799999999997</v>
      </c>
      <c r="L257" s="13">
        <f>amazon_store_sales_2022__1[[#This Row],[Total ]]-amazon_store_sales_2022__1[[#This Row],[Total Discount]]</f>
        <v>831.78719999999998</v>
      </c>
      <c r="M257">
        <f>YEAR(amazon_store_sales_2022__1[[#This Row],[OrderDate]])</f>
        <v>2022</v>
      </c>
      <c r="N257" t="str" cm="1">
        <f t="array" ref="N257">_xlfn.IFS(L257&lt;500," VeryLow",L257&lt;1000,"Low",L257&lt;2000,"Medium",L257&lt;3000,"High",L257&lt;5000,"VeryHigh")</f>
        <v>Low</v>
      </c>
      <c r="O257" t="str" cm="1">
        <f t="array" ref="O257">_xlfn.IFS(G257&lt;0.09,"Low",G257&lt;0.2,"Medium",G257&lt;0.4,"High")</f>
        <v>Low</v>
      </c>
    </row>
    <row r="258" spans="1:15" x14ac:dyDescent="0.3">
      <c r="A258">
        <v>10257</v>
      </c>
      <c r="B258" s="1">
        <v>44818</v>
      </c>
      <c r="C258">
        <v>2080</v>
      </c>
      <c r="D258" t="s">
        <v>16</v>
      </c>
      <c r="E258">
        <v>3</v>
      </c>
      <c r="F258">
        <v>223.8</v>
      </c>
      <c r="G258">
        <v>0.26</v>
      </c>
      <c r="H258" t="s">
        <v>10</v>
      </c>
      <c r="I258" t="s">
        <v>11</v>
      </c>
      <c r="J258">
        <f>amazon_store_sales_2022__1[[#This Row],[UnitPrice]]*amazon_store_sales_2022__1[[#This Row],[Quantity]]</f>
        <v>671.40000000000009</v>
      </c>
      <c r="K258">
        <f>amazon_store_sales_2022__1[[#This Row],[Total ]]*amazon_store_sales_2022__1[[#This Row],[Discount]]</f>
        <v>174.56400000000002</v>
      </c>
      <c r="L258" s="13">
        <f>amazon_store_sales_2022__1[[#This Row],[Total ]]-amazon_store_sales_2022__1[[#This Row],[Total Discount]]</f>
        <v>496.83600000000007</v>
      </c>
      <c r="M258">
        <f>YEAR(amazon_store_sales_2022__1[[#This Row],[OrderDate]])</f>
        <v>2022</v>
      </c>
      <c r="N258" t="str" cm="1">
        <f t="array" ref="N258">_xlfn.IFS(L258&lt;500," VeryLow",L258&lt;1000,"Low",L258&lt;2000,"Medium",L258&lt;3000,"High",L258&lt;5000,"VeryHigh")</f>
        <v xml:space="preserve"> VeryLow</v>
      </c>
      <c r="O258" t="str" cm="1">
        <f t="array" ref="O258">_xlfn.IFS(G258&lt;0.09,"Low",G258&lt;0.2,"Medium",G258&lt;0.4,"High")</f>
        <v>High</v>
      </c>
    </row>
    <row r="259" spans="1:15" x14ac:dyDescent="0.3">
      <c r="A259">
        <v>10258</v>
      </c>
      <c r="B259" s="1">
        <v>44819</v>
      </c>
      <c r="C259">
        <v>2093</v>
      </c>
      <c r="D259" t="s">
        <v>19</v>
      </c>
      <c r="E259">
        <v>1</v>
      </c>
      <c r="F259">
        <v>168.79</v>
      </c>
      <c r="G259">
        <v>0.2</v>
      </c>
      <c r="H259" t="s">
        <v>20</v>
      </c>
      <c r="I259" t="s">
        <v>18</v>
      </c>
      <c r="J259">
        <f>amazon_store_sales_2022__1[[#This Row],[UnitPrice]]*amazon_store_sales_2022__1[[#This Row],[Quantity]]</f>
        <v>168.79</v>
      </c>
      <c r="K259">
        <f>amazon_store_sales_2022__1[[#This Row],[Total ]]*amazon_store_sales_2022__1[[#This Row],[Discount]]</f>
        <v>33.758000000000003</v>
      </c>
      <c r="L259" s="13">
        <f>amazon_store_sales_2022__1[[#This Row],[Total ]]-amazon_store_sales_2022__1[[#This Row],[Total Discount]]</f>
        <v>135.03199999999998</v>
      </c>
      <c r="M259">
        <f>YEAR(amazon_store_sales_2022__1[[#This Row],[OrderDate]])</f>
        <v>2022</v>
      </c>
      <c r="N259" t="str" cm="1">
        <f t="array" ref="N259">_xlfn.IFS(L259&lt;500," VeryLow",L259&lt;1000,"Low",L259&lt;2000,"Medium",L259&lt;3000,"High",L259&lt;5000,"VeryHigh")</f>
        <v xml:space="preserve"> VeryLow</v>
      </c>
      <c r="O259" t="str" cm="1">
        <f t="array" ref="O259">_xlfn.IFS(G259&lt;0.09,"Low",G259&lt;0.2,"Medium",G259&lt;0.4,"High")</f>
        <v>High</v>
      </c>
    </row>
    <row r="260" spans="1:15" x14ac:dyDescent="0.3">
      <c r="A260">
        <v>10259</v>
      </c>
      <c r="B260" s="1">
        <v>44820</v>
      </c>
      <c r="C260">
        <v>2003</v>
      </c>
      <c r="D260" t="s">
        <v>19</v>
      </c>
      <c r="E260">
        <v>9</v>
      </c>
      <c r="F260">
        <v>227.14</v>
      </c>
      <c r="G260">
        <v>0.09</v>
      </c>
      <c r="H260" t="s">
        <v>15</v>
      </c>
      <c r="I260" t="s">
        <v>18</v>
      </c>
      <c r="J260">
        <f>amazon_store_sales_2022__1[[#This Row],[UnitPrice]]*amazon_store_sales_2022__1[[#This Row],[Quantity]]</f>
        <v>2044.2599999999998</v>
      </c>
      <c r="K260">
        <f>amazon_store_sales_2022__1[[#This Row],[Total ]]*amazon_store_sales_2022__1[[#This Row],[Discount]]</f>
        <v>183.98339999999996</v>
      </c>
      <c r="L260" s="13">
        <f>amazon_store_sales_2022__1[[#This Row],[Total ]]-amazon_store_sales_2022__1[[#This Row],[Total Discount]]</f>
        <v>1860.2765999999997</v>
      </c>
      <c r="M260">
        <f>YEAR(amazon_store_sales_2022__1[[#This Row],[OrderDate]])</f>
        <v>2022</v>
      </c>
      <c r="N260" t="str" cm="1">
        <f t="array" ref="N260">_xlfn.IFS(L260&lt;500," VeryLow",L260&lt;1000,"Low",L260&lt;2000,"Medium",L260&lt;3000,"High",L260&lt;5000,"VeryHigh")</f>
        <v>Medium</v>
      </c>
      <c r="O260" t="str" cm="1">
        <f t="array" ref="O260">_xlfn.IFS(G260&lt;0.09,"Low",G260&lt;0.2,"Medium",G260&lt;0.4,"High")</f>
        <v>Medium</v>
      </c>
    </row>
    <row r="261" spans="1:15" x14ac:dyDescent="0.3">
      <c r="A261">
        <v>10260</v>
      </c>
      <c r="B261" s="1">
        <v>44821</v>
      </c>
      <c r="C261">
        <v>2020</v>
      </c>
      <c r="D261" t="s">
        <v>12</v>
      </c>
      <c r="E261">
        <v>8</v>
      </c>
      <c r="F261">
        <v>336.35</v>
      </c>
      <c r="G261">
        <v>0.22</v>
      </c>
      <c r="H261" t="s">
        <v>13</v>
      </c>
      <c r="I261" t="s">
        <v>11</v>
      </c>
      <c r="J261">
        <f>amazon_store_sales_2022__1[[#This Row],[UnitPrice]]*amazon_store_sales_2022__1[[#This Row],[Quantity]]</f>
        <v>2690.8</v>
      </c>
      <c r="K261">
        <f>amazon_store_sales_2022__1[[#This Row],[Total ]]*amazon_store_sales_2022__1[[#This Row],[Discount]]</f>
        <v>591.976</v>
      </c>
      <c r="L261" s="13">
        <f>amazon_store_sales_2022__1[[#This Row],[Total ]]-amazon_store_sales_2022__1[[#This Row],[Total Discount]]</f>
        <v>2098.8240000000001</v>
      </c>
      <c r="M261">
        <f>YEAR(amazon_store_sales_2022__1[[#This Row],[OrderDate]])</f>
        <v>2022</v>
      </c>
      <c r="N261" t="str" cm="1">
        <f t="array" ref="N261">_xlfn.IFS(L261&lt;500," VeryLow",L261&lt;1000,"Low",L261&lt;2000,"Medium",L261&lt;3000,"High",L261&lt;5000,"VeryHigh")</f>
        <v>High</v>
      </c>
      <c r="O261" t="str" cm="1">
        <f t="array" ref="O261">_xlfn.IFS(G261&lt;0.09,"Low",G261&lt;0.2,"Medium",G261&lt;0.4,"High")</f>
        <v>High</v>
      </c>
    </row>
    <row r="262" spans="1:15" x14ac:dyDescent="0.3">
      <c r="A262">
        <v>10261</v>
      </c>
      <c r="B262" s="1">
        <v>44822</v>
      </c>
      <c r="C262">
        <v>2059</v>
      </c>
      <c r="D262" t="s">
        <v>19</v>
      </c>
      <c r="E262">
        <v>2</v>
      </c>
      <c r="F262">
        <v>77.150000000000006</v>
      </c>
      <c r="G262">
        <v>0.24</v>
      </c>
      <c r="H262" t="s">
        <v>17</v>
      </c>
      <c r="I262" t="s">
        <v>18</v>
      </c>
      <c r="J262">
        <f>amazon_store_sales_2022__1[[#This Row],[UnitPrice]]*amazon_store_sales_2022__1[[#This Row],[Quantity]]</f>
        <v>154.30000000000001</v>
      </c>
      <c r="K262">
        <f>amazon_store_sales_2022__1[[#This Row],[Total ]]*amazon_store_sales_2022__1[[#This Row],[Discount]]</f>
        <v>37.032000000000004</v>
      </c>
      <c r="L262" s="13">
        <f>amazon_store_sales_2022__1[[#This Row],[Total ]]-amazon_store_sales_2022__1[[#This Row],[Total Discount]]</f>
        <v>117.268</v>
      </c>
      <c r="M262">
        <f>YEAR(amazon_store_sales_2022__1[[#This Row],[OrderDate]])</f>
        <v>2022</v>
      </c>
      <c r="N262" t="str" cm="1">
        <f t="array" ref="N262">_xlfn.IFS(L262&lt;500," VeryLow",L262&lt;1000,"Low",L262&lt;2000,"Medium",L262&lt;3000,"High",L262&lt;5000,"VeryHigh")</f>
        <v xml:space="preserve"> VeryLow</v>
      </c>
      <c r="O262" t="str" cm="1">
        <f t="array" ref="O262">_xlfn.IFS(G262&lt;0.09,"Low",G262&lt;0.2,"Medium",G262&lt;0.4,"High")</f>
        <v>High</v>
      </c>
    </row>
    <row r="263" spans="1:15" x14ac:dyDescent="0.3">
      <c r="A263">
        <v>10262</v>
      </c>
      <c r="B263" s="1">
        <v>44823</v>
      </c>
      <c r="C263">
        <v>2036</v>
      </c>
      <c r="D263" t="s">
        <v>14</v>
      </c>
      <c r="E263">
        <v>9</v>
      </c>
      <c r="F263">
        <v>227.47</v>
      </c>
      <c r="G263">
        <v>0.18</v>
      </c>
      <c r="H263" t="s">
        <v>20</v>
      </c>
      <c r="I263" t="s">
        <v>11</v>
      </c>
      <c r="J263">
        <f>amazon_store_sales_2022__1[[#This Row],[UnitPrice]]*amazon_store_sales_2022__1[[#This Row],[Quantity]]</f>
        <v>2047.23</v>
      </c>
      <c r="K263">
        <f>amazon_store_sales_2022__1[[#This Row],[Total ]]*amazon_store_sales_2022__1[[#This Row],[Discount]]</f>
        <v>368.50139999999999</v>
      </c>
      <c r="L263" s="13">
        <f>amazon_store_sales_2022__1[[#This Row],[Total ]]-amazon_store_sales_2022__1[[#This Row],[Total Discount]]</f>
        <v>1678.7285999999999</v>
      </c>
      <c r="M263">
        <f>YEAR(amazon_store_sales_2022__1[[#This Row],[OrderDate]])</f>
        <v>2022</v>
      </c>
      <c r="N263" t="str" cm="1">
        <f t="array" ref="N263">_xlfn.IFS(L263&lt;500," VeryLow",L263&lt;1000,"Low",L263&lt;2000,"Medium",L263&lt;3000,"High",L263&lt;5000,"VeryHigh")</f>
        <v>Medium</v>
      </c>
      <c r="O263" t="str" cm="1">
        <f t="array" ref="O263">_xlfn.IFS(G263&lt;0.09,"Low",G263&lt;0.2,"Medium",G263&lt;0.4,"High")</f>
        <v>Medium</v>
      </c>
    </row>
    <row r="264" spans="1:15" x14ac:dyDescent="0.3">
      <c r="A264">
        <v>10263</v>
      </c>
      <c r="B264" s="1">
        <v>44824</v>
      </c>
      <c r="C264">
        <v>2019</v>
      </c>
      <c r="D264" t="s">
        <v>16</v>
      </c>
      <c r="E264">
        <v>7</v>
      </c>
      <c r="F264">
        <v>296</v>
      </c>
      <c r="G264">
        <v>0.21</v>
      </c>
      <c r="H264" t="s">
        <v>17</v>
      </c>
      <c r="I264" t="s">
        <v>18</v>
      </c>
      <c r="J264">
        <f>amazon_store_sales_2022__1[[#This Row],[UnitPrice]]*amazon_store_sales_2022__1[[#This Row],[Quantity]]</f>
        <v>2072</v>
      </c>
      <c r="K264">
        <f>amazon_store_sales_2022__1[[#This Row],[Total ]]*amazon_store_sales_2022__1[[#This Row],[Discount]]</f>
        <v>435.12</v>
      </c>
      <c r="L264" s="13">
        <f>amazon_store_sales_2022__1[[#This Row],[Total ]]-amazon_store_sales_2022__1[[#This Row],[Total Discount]]</f>
        <v>1636.88</v>
      </c>
      <c r="M264">
        <f>YEAR(amazon_store_sales_2022__1[[#This Row],[OrderDate]])</f>
        <v>2022</v>
      </c>
      <c r="N264" t="str" cm="1">
        <f t="array" ref="N264">_xlfn.IFS(L264&lt;500," VeryLow",L264&lt;1000,"Low",L264&lt;2000,"Medium",L264&lt;3000,"High",L264&lt;5000,"VeryHigh")</f>
        <v>Medium</v>
      </c>
      <c r="O264" t="str" cm="1">
        <f t="array" ref="O264">_xlfn.IFS(G264&lt;0.09,"Low",G264&lt;0.2,"Medium",G264&lt;0.4,"High")</f>
        <v>High</v>
      </c>
    </row>
    <row r="265" spans="1:15" x14ac:dyDescent="0.3">
      <c r="A265">
        <v>10264</v>
      </c>
      <c r="B265" s="1">
        <v>44825</v>
      </c>
      <c r="C265">
        <v>2090</v>
      </c>
      <c r="D265" t="s">
        <v>12</v>
      </c>
      <c r="E265">
        <v>9</v>
      </c>
      <c r="F265">
        <v>474.55</v>
      </c>
      <c r="G265">
        <v>0.11</v>
      </c>
      <c r="H265" t="s">
        <v>13</v>
      </c>
      <c r="I265" t="s">
        <v>18</v>
      </c>
      <c r="J265">
        <f>amazon_store_sales_2022__1[[#This Row],[UnitPrice]]*amazon_store_sales_2022__1[[#This Row],[Quantity]]</f>
        <v>4270.95</v>
      </c>
      <c r="K265">
        <f>amazon_store_sales_2022__1[[#This Row],[Total ]]*amazon_store_sales_2022__1[[#This Row],[Discount]]</f>
        <v>469.80449999999996</v>
      </c>
      <c r="L265" s="13">
        <f>amazon_store_sales_2022__1[[#This Row],[Total ]]-amazon_store_sales_2022__1[[#This Row],[Total Discount]]</f>
        <v>3801.1454999999996</v>
      </c>
      <c r="M265">
        <f>YEAR(amazon_store_sales_2022__1[[#This Row],[OrderDate]])</f>
        <v>2022</v>
      </c>
      <c r="N265" t="str" cm="1">
        <f t="array" ref="N265">_xlfn.IFS(L265&lt;500," VeryLow",L265&lt;1000,"Low",L265&lt;2000,"Medium",L265&lt;3000,"High",L265&lt;5000,"VeryHigh")</f>
        <v>VeryHigh</v>
      </c>
      <c r="O265" t="str" cm="1">
        <f t="array" ref="O265">_xlfn.IFS(G265&lt;0.09,"Low",G265&lt;0.2,"Medium",G265&lt;0.4,"High")</f>
        <v>Medium</v>
      </c>
    </row>
    <row r="266" spans="1:15" x14ac:dyDescent="0.3">
      <c r="A266">
        <v>10265</v>
      </c>
      <c r="B266" s="1">
        <v>44826</v>
      </c>
      <c r="C266">
        <v>2067</v>
      </c>
      <c r="D266" t="s">
        <v>19</v>
      </c>
      <c r="E266">
        <v>6</v>
      </c>
      <c r="F266">
        <v>130</v>
      </c>
      <c r="G266">
        <v>0.16</v>
      </c>
      <c r="H266" t="s">
        <v>13</v>
      </c>
      <c r="I266" t="s">
        <v>11</v>
      </c>
      <c r="J266">
        <f>amazon_store_sales_2022__1[[#This Row],[UnitPrice]]*amazon_store_sales_2022__1[[#This Row],[Quantity]]</f>
        <v>780</v>
      </c>
      <c r="K266">
        <f>amazon_store_sales_2022__1[[#This Row],[Total ]]*amazon_store_sales_2022__1[[#This Row],[Discount]]</f>
        <v>124.8</v>
      </c>
      <c r="L266" s="13">
        <f>amazon_store_sales_2022__1[[#This Row],[Total ]]-amazon_store_sales_2022__1[[#This Row],[Total Discount]]</f>
        <v>655.20000000000005</v>
      </c>
      <c r="M266">
        <f>YEAR(amazon_store_sales_2022__1[[#This Row],[OrderDate]])</f>
        <v>2022</v>
      </c>
      <c r="N266" t="str" cm="1">
        <f t="array" ref="N266">_xlfn.IFS(L266&lt;500," VeryLow",L266&lt;1000,"Low",L266&lt;2000,"Medium",L266&lt;3000,"High",L266&lt;5000,"VeryHigh")</f>
        <v>Low</v>
      </c>
      <c r="O266" t="str" cm="1">
        <f t="array" ref="O266">_xlfn.IFS(G266&lt;0.09,"Low",G266&lt;0.2,"Medium",G266&lt;0.4,"High")</f>
        <v>Medium</v>
      </c>
    </row>
    <row r="267" spans="1:15" x14ac:dyDescent="0.3">
      <c r="A267">
        <v>10266</v>
      </c>
      <c r="B267" s="1">
        <v>44827</v>
      </c>
      <c r="C267">
        <v>2019</v>
      </c>
      <c r="D267" t="s">
        <v>14</v>
      </c>
      <c r="E267">
        <v>6</v>
      </c>
      <c r="F267">
        <v>182.83</v>
      </c>
      <c r="G267">
        <v>0.16</v>
      </c>
      <c r="H267" t="s">
        <v>10</v>
      </c>
      <c r="I267" t="s">
        <v>11</v>
      </c>
      <c r="J267">
        <f>amazon_store_sales_2022__1[[#This Row],[UnitPrice]]*amazon_store_sales_2022__1[[#This Row],[Quantity]]</f>
        <v>1096.98</v>
      </c>
      <c r="K267">
        <f>amazon_store_sales_2022__1[[#This Row],[Total ]]*amazon_store_sales_2022__1[[#This Row],[Discount]]</f>
        <v>175.51680000000002</v>
      </c>
      <c r="L267" s="13">
        <f>amazon_store_sales_2022__1[[#This Row],[Total ]]-amazon_store_sales_2022__1[[#This Row],[Total Discount]]</f>
        <v>921.46320000000003</v>
      </c>
      <c r="M267">
        <f>YEAR(amazon_store_sales_2022__1[[#This Row],[OrderDate]])</f>
        <v>2022</v>
      </c>
      <c r="N267" t="str" cm="1">
        <f t="array" ref="N267">_xlfn.IFS(L267&lt;500," VeryLow",L267&lt;1000,"Low",L267&lt;2000,"Medium",L267&lt;3000,"High",L267&lt;5000,"VeryHigh")</f>
        <v>Low</v>
      </c>
      <c r="O267" t="str" cm="1">
        <f t="array" ref="O267">_xlfn.IFS(G267&lt;0.09,"Low",G267&lt;0.2,"Medium",G267&lt;0.4,"High")</f>
        <v>Medium</v>
      </c>
    </row>
    <row r="268" spans="1:15" x14ac:dyDescent="0.3">
      <c r="A268">
        <v>10267</v>
      </c>
      <c r="B268" s="1">
        <v>44828</v>
      </c>
      <c r="C268">
        <v>2020</v>
      </c>
      <c r="D268" t="s">
        <v>14</v>
      </c>
      <c r="E268">
        <v>4</v>
      </c>
      <c r="F268">
        <v>192.78</v>
      </c>
      <c r="G268">
        <v>0.25</v>
      </c>
      <c r="H268" t="s">
        <v>13</v>
      </c>
      <c r="I268" t="s">
        <v>11</v>
      </c>
      <c r="J268">
        <f>amazon_store_sales_2022__1[[#This Row],[UnitPrice]]*amazon_store_sales_2022__1[[#This Row],[Quantity]]</f>
        <v>771.12</v>
      </c>
      <c r="K268">
        <f>amazon_store_sales_2022__1[[#This Row],[Total ]]*amazon_store_sales_2022__1[[#This Row],[Discount]]</f>
        <v>192.78</v>
      </c>
      <c r="L268" s="13">
        <f>amazon_store_sales_2022__1[[#This Row],[Total ]]-amazon_store_sales_2022__1[[#This Row],[Total Discount]]</f>
        <v>578.34</v>
      </c>
      <c r="M268">
        <f>YEAR(amazon_store_sales_2022__1[[#This Row],[OrderDate]])</f>
        <v>2022</v>
      </c>
      <c r="N268" t="str" cm="1">
        <f t="array" ref="N268">_xlfn.IFS(L268&lt;500," VeryLow",L268&lt;1000,"Low",L268&lt;2000,"Medium",L268&lt;3000,"High",L268&lt;5000,"VeryHigh")</f>
        <v>Low</v>
      </c>
      <c r="O268" t="str" cm="1">
        <f t="array" ref="O268">_xlfn.IFS(G268&lt;0.09,"Low",G268&lt;0.2,"Medium",G268&lt;0.4,"High")</f>
        <v>High</v>
      </c>
    </row>
    <row r="269" spans="1:15" x14ac:dyDescent="0.3">
      <c r="A269">
        <v>10268</v>
      </c>
      <c r="B269" s="1">
        <v>44829</v>
      </c>
      <c r="C269">
        <v>2096</v>
      </c>
      <c r="D269" t="s">
        <v>19</v>
      </c>
      <c r="E269">
        <v>2</v>
      </c>
      <c r="F269">
        <v>304.74</v>
      </c>
      <c r="G269">
        <v>0.25</v>
      </c>
      <c r="H269" t="s">
        <v>17</v>
      </c>
      <c r="I269" t="s">
        <v>11</v>
      </c>
      <c r="J269">
        <f>amazon_store_sales_2022__1[[#This Row],[UnitPrice]]*amazon_store_sales_2022__1[[#This Row],[Quantity]]</f>
        <v>609.48</v>
      </c>
      <c r="K269">
        <f>amazon_store_sales_2022__1[[#This Row],[Total ]]*amazon_store_sales_2022__1[[#This Row],[Discount]]</f>
        <v>152.37</v>
      </c>
      <c r="L269" s="13">
        <f>amazon_store_sales_2022__1[[#This Row],[Total ]]-amazon_store_sales_2022__1[[#This Row],[Total Discount]]</f>
        <v>457.11</v>
      </c>
      <c r="M269">
        <f>YEAR(amazon_store_sales_2022__1[[#This Row],[OrderDate]])</f>
        <v>2022</v>
      </c>
      <c r="N269" t="str" cm="1">
        <f t="array" ref="N269">_xlfn.IFS(L269&lt;500," VeryLow",L269&lt;1000,"Low",L269&lt;2000,"Medium",L269&lt;3000,"High",L269&lt;5000,"VeryHigh")</f>
        <v xml:space="preserve"> VeryLow</v>
      </c>
      <c r="O269" t="str" cm="1">
        <f t="array" ref="O269">_xlfn.IFS(G269&lt;0.09,"Low",G269&lt;0.2,"Medium",G269&lt;0.4,"High")</f>
        <v>High</v>
      </c>
    </row>
    <row r="270" spans="1:15" x14ac:dyDescent="0.3">
      <c r="A270">
        <v>10269</v>
      </c>
      <c r="B270" s="1">
        <v>44830</v>
      </c>
      <c r="C270">
        <v>2071</v>
      </c>
      <c r="D270" t="s">
        <v>16</v>
      </c>
      <c r="E270">
        <v>7</v>
      </c>
      <c r="F270">
        <v>181.58</v>
      </c>
      <c r="G270">
        <v>0.25</v>
      </c>
      <c r="H270" t="s">
        <v>15</v>
      </c>
      <c r="I270" t="s">
        <v>11</v>
      </c>
      <c r="J270">
        <f>amazon_store_sales_2022__1[[#This Row],[UnitPrice]]*amazon_store_sales_2022__1[[#This Row],[Quantity]]</f>
        <v>1271.0600000000002</v>
      </c>
      <c r="K270">
        <f>amazon_store_sales_2022__1[[#This Row],[Total ]]*amazon_store_sales_2022__1[[#This Row],[Discount]]</f>
        <v>317.76500000000004</v>
      </c>
      <c r="L270" s="13">
        <f>amazon_store_sales_2022__1[[#This Row],[Total ]]-amazon_store_sales_2022__1[[#This Row],[Total Discount]]</f>
        <v>953.29500000000007</v>
      </c>
      <c r="M270">
        <f>YEAR(amazon_store_sales_2022__1[[#This Row],[OrderDate]])</f>
        <v>2022</v>
      </c>
      <c r="N270" t="str" cm="1">
        <f t="array" ref="N270">_xlfn.IFS(L270&lt;500," VeryLow",L270&lt;1000,"Low",L270&lt;2000,"Medium",L270&lt;3000,"High",L270&lt;5000,"VeryHigh")</f>
        <v>Low</v>
      </c>
      <c r="O270" t="str" cm="1">
        <f t="array" ref="O270">_xlfn.IFS(G270&lt;0.09,"Low",G270&lt;0.2,"Medium",G270&lt;0.4,"High")</f>
        <v>High</v>
      </c>
    </row>
    <row r="271" spans="1:15" x14ac:dyDescent="0.3">
      <c r="A271">
        <v>10270</v>
      </c>
      <c r="B271" s="1">
        <v>44831</v>
      </c>
      <c r="C271">
        <v>2052</v>
      </c>
      <c r="D271" t="s">
        <v>19</v>
      </c>
      <c r="E271">
        <v>5</v>
      </c>
      <c r="F271">
        <v>269.08999999999997</v>
      </c>
      <c r="G271">
        <v>0</v>
      </c>
      <c r="H271" t="s">
        <v>15</v>
      </c>
      <c r="I271" t="s">
        <v>11</v>
      </c>
      <c r="J271">
        <f>amazon_store_sales_2022__1[[#This Row],[UnitPrice]]*amazon_store_sales_2022__1[[#This Row],[Quantity]]</f>
        <v>1345.4499999999998</v>
      </c>
      <c r="K271">
        <f>amazon_store_sales_2022__1[[#This Row],[Total ]]*amazon_store_sales_2022__1[[#This Row],[Discount]]</f>
        <v>0</v>
      </c>
      <c r="L271" s="13">
        <f>amazon_store_sales_2022__1[[#This Row],[Total ]]-amazon_store_sales_2022__1[[#This Row],[Total Discount]]</f>
        <v>1345.4499999999998</v>
      </c>
      <c r="M271">
        <f>YEAR(amazon_store_sales_2022__1[[#This Row],[OrderDate]])</f>
        <v>2022</v>
      </c>
      <c r="N271" t="str" cm="1">
        <f t="array" ref="N271">_xlfn.IFS(L271&lt;500," VeryLow",L271&lt;1000,"Low",L271&lt;2000,"Medium",L271&lt;3000,"High",L271&lt;5000,"VeryHigh")</f>
        <v>Medium</v>
      </c>
      <c r="O271" t="str" cm="1">
        <f t="array" ref="O271">_xlfn.IFS(G271&lt;0.09,"Low",G271&lt;0.2,"Medium",G271&lt;0.4,"High")</f>
        <v>Low</v>
      </c>
    </row>
    <row r="272" spans="1:15" x14ac:dyDescent="0.3">
      <c r="A272">
        <v>10271</v>
      </c>
      <c r="B272" s="1">
        <v>44832</v>
      </c>
      <c r="C272">
        <v>2033</v>
      </c>
      <c r="D272" t="s">
        <v>12</v>
      </c>
      <c r="E272">
        <v>6</v>
      </c>
      <c r="F272">
        <v>391.99</v>
      </c>
      <c r="G272">
        <v>0.22</v>
      </c>
      <c r="H272" t="s">
        <v>10</v>
      </c>
      <c r="I272" t="s">
        <v>11</v>
      </c>
      <c r="J272">
        <f>amazon_store_sales_2022__1[[#This Row],[UnitPrice]]*amazon_store_sales_2022__1[[#This Row],[Quantity]]</f>
        <v>2351.94</v>
      </c>
      <c r="K272">
        <f>amazon_store_sales_2022__1[[#This Row],[Total ]]*amazon_store_sales_2022__1[[#This Row],[Discount]]</f>
        <v>517.42680000000007</v>
      </c>
      <c r="L272" s="13">
        <f>amazon_store_sales_2022__1[[#This Row],[Total ]]-amazon_store_sales_2022__1[[#This Row],[Total Discount]]</f>
        <v>1834.5131999999999</v>
      </c>
      <c r="M272">
        <f>YEAR(amazon_store_sales_2022__1[[#This Row],[OrderDate]])</f>
        <v>2022</v>
      </c>
      <c r="N272" t="str" cm="1">
        <f t="array" ref="N272">_xlfn.IFS(L272&lt;500," VeryLow",L272&lt;1000,"Low",L272&lt;2000,"Medium",L272&lt;3000,"High",L272&lt;5000,"VeryHigh")</f>
        <v>Medium</v>
      </c>
      <c r="O272" t="str" cm="1">
        <f t="array" ref="O272">_xlfn.IFS(G272&lt;0.09,"Low",G272&lt;0.2,"Medium",G272&lt;0.4,"High")</f>
        <v>High</v>
      </c>
    </row>
    <row r="273" spans="1:15" x14ac:dyDescent="0.3">
      <c r="A273">
        <v>10272</v>
      </c>
      <c r="B273" s="1">
        <v>44833</v>
      </c>
      <c r="C273">
        <v>2040</v>
      </c>
      <c r="D273" t="s">
        <v>19</v>
      </c>
      <c r="E273">
        <v>2</v>
      </c>
      <c r="F273">
        <v>354.17</v>
      </c>
      <c r="G273">
        <v>0.23</v>
      </c>
      <c r="H273" t="s">
        <v>17</v>
      </c>
      <c r="I273" t="s">
        <v>18</v>
      </c>
      <c r="J273">
        <f>amazon_store_sales_2022__1[[#This Row],[UnitPrice]]*amazon_store_sales_2022__1[[#This Row],[Quantity]]</f>
        <v>708.34</v>
      </c>
      <c r="K273">
        <f>amazon_store_sales_2022__1[[#This Row],[Total ]]*amazon_store_sales_2022__1[[#This Row],[Discount]]</f>
        <v>162.91820000000001</v>
      </c>
      <c r="L273" s="13">
        <f>amazon_store_sales_2022__1[[#This Row],[Total ]]-amazon_store_sales_2022__1[[#This Row],[Total Discount]]</f>
        <v>545.42180000000008</v>
      </c>
      <c r="M273">
        <f>YEAR(amazon_store_sales_2022__1[[#This Row],[OrderDate]])</f>
        <v>2022</v>
      </c>
      <c r="N273" t="str" cm="1">
        <f t="array" ref="N273">_xlfn.IFS(L273&lt;500," VeryLow",L273&lt;1000,"Low",L273&lt;2000,"Medium",L273&lt;3000,"High",L273&lt;5000,"VeryHigh")</f>
        <v>Low</v>
      </c>
      <c r="O273" t="str" cm="1">
        <f t="array" ref="O273">_xlfn.IFS(G273&lt;0.09,"Low",G273&lt;0.2,"Medium",G273&lt;0.4,"High")</f>
        <v>High</v>
      </c>
    </row>
    <row r="274" spans="1:15" x14ac:dyDescent="0.3">
      <c r="A274">
        <v>10273</v>
      </c>
      <c r="B274" s="1">
        <v>44834</v>
      </c>
      <c r="C274">
        <v>2039</v>
      </c>
      <c r="D274" t="s">
        <v>14</v>
      </c>
      <c r="E274">
        <v>5</v>
      </c>
      <c r="F274">
        <v>225.95</v>
      </c>
      <c r="G274">
        <v>0.2</v>
      </c>
      <c r="H274" t="s">
        <v>17</v>
      </c>
      <c r="I274" t="s">
        <v>18</v>
      </c>
      <c r="J274">
        <f>amazon_store_sales_2022__1[[#This Row],[UnitPrice]]*amazon_store_sales_2022__1[[#This Row],[Quantity]]</f>
        <v>1129.75</v>
      </c>
      <c r="K274">
        <f>amazon_store_sales_2022__1[[#This Row],[Total ]]*amazon_store_sales_2022__1[[#This Row],[Discount]]</f>
        <v>225.95000000000002</v>
      </c>
      <c r="L274" s="13">
        <f>amazon_store_sales_2022__1[[#This Row],[Total ]]-amazon_store_sales_2022__1[[#This Row],[Total Discount]]</f>
        <v>903.8</v>
      </c>
      <c r="M274">
        <f>YEAR(amazon_store_sales_2022__1[[#This Row],[OrderDate]])</f>
        <v>2022</v>
      </c>
      <c r="N274" t="str" cm="1">
        <f t="array" ref="N274">_xlfn.IFS(L274&lt;500," VeryLow",L274&lt;1000,"Low",L274&lt;2000,"Medium",L274&lt;3000,"High",L274&lt;5000,"VeryHigh")</f>
        <v>Low</v>
      </c>
      <c r="O274" t="str" cm="1">
        <f t="array" ref="O274">_xlfn.IFS(G274&lt;0.09,"Low",G274&lt;0.2,"Medium",G274&lt;0.4,"High")</f>
        <v>High</v>
      </c>
    </row>
    <row r="275" spans="1:15" x14ac:dyDescent="0.3">
      <c r="A275">
        <v>10274</v>
      </c>
      <c r="B275" s="1">
        <v>44835</v>
      </c>
      <c r="C275">
        <v>2082</v>
      </c>
      <c r="D275" t="s">
        <v>19</v>
      </c>
      <c r="E275">
        <v>4</v>
      </c>
      <c r="F275">
        <v>432.79</v>
      </c>
      <c r="G275">
        <v>0.23</v>
      </c>
      <c r="H275" t="s">
        <v>13</v>
      </c>
      <c r="I275" t="s">
        <v>18</v>
      </c>
      <c r="J275">
        <f>amazon_store_sales_2022__1[[#This Row],[UnitPrice]]*amazon_store_sales_2022__1[[#This Row],[Quantity]]</f>
        <v>1731.16</v>
      </c>
      <c r="K275">
        <f>amazon_store_sales_2022__1[[#This Row],[Total ]]*amazon_store_sales_2022__1[[#This Row],[Discount]]</f>
        <v>398.16680000000002</v>
      </c>
      <c r="L275" s="13">
        <f>amazon_store_sales_2022__1[[#This Row],[Total ]]-amazon_store_sales_2022__1[[#This Row],[Total Discount]]</f>
        <v>1332.9932000000001</v>
      </c>
      <c r="M275">
        <f>YEAR(amazon_store_sales_2022__1[[#This Row],[OrderDate]])</f>
        <v>2022</v>
      </c>
      <c r="N275" t="str" cm="1">
        <f t="array" ref="N275">_xlfn.IFS(L275&lt;500," VeryLow",L275&lt;1000,"Low",L275&lt;2000,"Medium",L275&lt;3000,"High",L275&lt;5000,"VeryHigh")</f>
        <v>Medium</v>
      </c>
      <c r="O275" t="str" cm="1">
        <f t="array" ref="O275">_xlfn.IFS(G275&lt;0.09,"Low",G275&lt;0.2,"Medium",G275&lt;0.4,"High")</f>
        <v>High</v>
      </c>
    </row>
    <row r="276" spans="1:15" x14ac:dyDescent="0.3">
      <c r="A276">
        <v>10275</v>
      </c>
      <c r="B276" s="1">
        <v>44836</v>
      </c>
      <c r="C276">
        <v>2001</v>
      </c>
      <c r="D276" t="s">
        <v>16</v>
      </c>
      <c r="E276">
        <v>9</v>
      </c>
      <c r="F276">
        <v>281.27999999999997</v>
      </c>
      <c r="G276">
        <v>0.25</v>
      </c>
      <c r="H276" t="s">
        <v>17</v>
      </c>
      <c r="I276" t="s">
        <v>11</v>
      </c>
      <c r="J276">
        <f>amazon_store_sales_2022__1[[#This Row],[UnitPrice]]*amazon_store_sales_2022__1[[#This Row],[Quantity]]</f>
        <v>2531.5199999999995</v>
      </c>
      <c r="K276">
        <f>amazon_store_sales_2022__1[[#This Row],[Total ]]*amazon_store_sales_2022__1[[#This Row],[Discount]]</f>
        <v>632.87999999999988</v>
      </c>
      <c r="L276" s="13">
        <f>amazon_store_sales_2022__1[[#This Row],[Total ]]-amazon_store_sales_2022__1[[#This Row],[Total Discount]]</f>
        <v>1898.6399999999996</v>
      </c>
      <c r="M276">
        <f>YEAR(amazon_store_sales_2022__1[[#This Row],[OrderDate]])</f>
        <v>2022</v>
      </c>
      <c r="N276" t="str" cm="1">
        <f t="array" ref="N276">_xlfn.IFS(L276&lt;500," VeryLow",L276&lt;1000,"Low",L276&lt;2000,"Medium",L276&lt;3000,"High",L276&lt;5000,"VeryHigh")</f>
        <v>Medium</v>
      </c>
      <c r="O276" t="str" cm="1">
        <f t="array" ref="O276">_xlfn.IFS(G276&lt;0.09,"Low",G276&lt;0.2,"Medium",G276&lt;0.4,"High")</f>
        <v>High</v>
      </c>
    </row>
    <row r="277" spans="1:15" x14ac:dyDescent="0.3">
      <c r="A277">
        <v>10276</v>
      </c>
      <c r="B277" s="1">
        <v>44837</v>
      </c>
      <c r="C277">
        <v>2011</v>
      </c>
      <c r="D277" t="s">
        <v>9</v>
      </c>
      <c r="E277">
        <v>6</v>
      </c>
      <c r="F277">
        <v>272.25</v>
      </c>
      <c r="G277">
        <v>0.14000000000000001</v>
      </c>
      <c r="H277" t="s">
        <v>20</v>
      </c>
      <c r="I277" t="s">
        <v>11</v>
      </c>
      <c r="J277">
        <f>amazon_store_sales_2022__1[[#This Row],[UnitPrice]]*amazon_store_sales_2022__1[[#This Row],[Quantity]]</f>
        <v>1633.5</v>
      </c>
      <c r="K277">
        <f>amazon_store_sales_2022__1[[#This Row],[Total ]]*amazon_store_sales_2022__1[[#This Row],[Discount]]</f>
        <v>228.69000000000003</v>
      </c>
      <c r="L277" s="13">
        <f>amazon_store_sales_2022__1[[#This Row],[Total ]]-amazon_store_sales_2022__1[[#This Row],[Total Discount]]</f>
        <v>1404.81</v>
      </c>
      <c r="M277">
        <f>YEAR(amazon_store_sales_2022__1[[#This Row],[OrderDate]])</f>
        <v>2022</v>
      </c>
      <c r="N277" t="str" cm="1">
        <f t="array" ref="N277">_xlfn.IFS(L277&lt;500," VeryLow",L277&lt;1000,"Low",L277&lt;2000,"Medium",L277&lt;3000,"High",L277&lt;5000,"VeryHigh")</f>
        <v>Medium</v>
      </c>
      <c r="O277" t="str" cm="1">
        <f t="array" ref="O277">_xlfn.IFS(G277&lt;0.09,"Low",G277&lt;0.2,"Medium",G277&lt;0.4,"High")</f>
        <v>Medium</v>
      </c>
    </row>
    <row r="278" spans="1:15" x14ac:dyDescent="0.3">
      <c r="A278">
        <v>10277</v>
      </c>
      <c r="B278" s="1">
        <v>44838</v>
      </c>
      <c r="C278">
        <v>2092</v>
      </c>
      <c r="D278" t="s">
        <v>19</v>
      </c>
      <c r="E278">
        <v>2</v>
      </c>
      <c r="F278">
        <v>21.92</v>
      </c>
      <c r="G278">
        <v>0.15</v>
      </c>
      <c r="H278" t="s">
        <v>13</v>
      </c>
      <c r="I278" t="s">
        <v>11</v>
      </c>
      <c r="J278">
        <f>amazon_store_sales_2022__1[[#This Row],[UnitPrice]]*amazon_store_sales_2022__1[[#This Row],[Quantity]]</f>
        <v>43.84</v>
      </c>
      <c r="K278">
        <f>amazon_store_sales_2022__1[[#This Row],[Total ]]*amazon_store_sales_2022__1[[#This Row],[Discount]]</f>
        <v>6.5760000000000005</v>
      </c>
      <c r="L278" s="13">
        <f>amazon_store_sales_2022__1[[#This Row],[Total ]]-amazon_store_sales_2022__1[[#This Row],[Total Discount]]</f>
        <v>37.264000000000003</v>
      </c>
      <c r="M278">
        <f>YEAR(amazon_store_sales_2022__1[[#This Row],[OrderDate]])</f>
        <v>2022</v>
      </c>
      <c r="N278" t="str" cm="1">
        <f t="array" ref="N278">_xlfn.IFS(L278&lt;500," VeryLow",L278&lt;1000,"Low",L278&lt;2000,"Medium",L278&lt;3000,"High",L278&lt;5000,"VeryHigh")</f>
        <v xml:space="preserve"> VeryLow</v>
      </c>
      <c r="O278" t="str" cm="1">
        <f t="array" ref="O278">_xlfn.IFS(G278&lt;0.09,"Low",G278&lt;0.2,"Medium",G278&lt;0.4,"High")</f>
        <v>Medium</v>
      </c>
    </row>
    <row r="279" spans="1:15" x14ac:dyDescent="0.3">
      <c r="A279">
        <v>10278</v>
      </c>
      <c r="B279" s="1">
        <v>44839</v>
      </c>
      <c r="C279">
        <v>2057</v>
      </c>
      <c r="D279" t="s">
        <v>16</v>
      </c>
      <c r="E279">
        <v>1</v>
      </c>
      <c r="F279">
        <v>493.41</v>
      </c>
      <c r="G279">
        <v>0.04</v>
      </c>
      <c r="H279" t="s">
        <v>20</v>
      </c>
      <c r="I279" t="s">
        <v>18</v>
      </c>
      <c r="J279">
        <f>amazon_store_sales_2022__1[[#This Row],[UnitPrice]]*amazon_store_sales_2022__1[[#This Row],[Quantity]]</f>
        <v>493.41</v>
      </c>
      <c r="K279">
        <f>amazon_store_sales_2022__1[[#This Row],[Total ]]*amazon_store_sales_2022__1[[#This Row],[Discount]]</f>
        <v>19.7364</v>
      </c>
      <c r="L279" s="13">
        <f>amazon_store_sales_2022__1[[#This Row],[Total ]]-amazon_store_sales_2022__1[[#This Row],[Total Discount]]</f>
        <v>473.67360000000002</v>
      </c>
      <c r="M279">
        <f>YEAR(amazon_store_sales_2022__1[[#This Row],[OrderDate]])</f>
        <v>2022</v>
      </c>
      <c r="N279" t="str" cm="1">
        <f t="array" ref="N279">_xlfn.IFS(L279&lt;500," VeryLow",L279&lt;1000,"Low",L279&lt;2000,"Medium",L279&lt;3000,"High",L279&lt;5000,"VeryHigh")</f>
        <v xml:space="preserve"> VeryLow</v>
      </c>
      <c r="O279" t="str" cm="1">
        <f t="array" ref="O279">_xlfn.IFS(G279&lt;0.09,"Low",G279&lt;0.2,"Medium",G279&lt;0.4,"High")</f>
        <v>Low</v>
      </c>
    </row>
    <row r="280" spans="1:15" x14ac:dyDescent="0.3">
      <c r="A280">
        <v>10279</v>
      </c>
      <c r="B280" s="1">
        <v>44840</v>
      </c>
      <c r="C280">
        <v>2089</v>
      </c>
      <c r="D280" t="s">
        <v>16</v>
      </c>
      <c r="E280">
        <v>5</v>
      </c>
      <c r="F280">
        <v>65.87</v>
      </c>
      <c r="G280">
        <v>0.12</v>
      </c>
      <c r="H280" t="s">
        <v>10</v>
      </c>
      <c r="I280" t="s">
        <v>11</v>
      </c>
      <c r="J280">
        <f>amazon_store_sales_2022__1[[#This Row],[UnitPrice]]*amazon_store_sales_2022__1[[#This Row],[Quantity]]</f>
        <v>329.35</v>
      </c>
      <c r="K280">
        <f>amazon_store_sales_2022__1[[#This Row],[Total ]]*amazon_store_sales_2022__1[[#This Row],[Discount]]</f>
        <v>39.521999999999998</v>
      </c>
      <c r="L280" s="13">
        <f>amazon_store_sales_2022__1[[#This Row],[Total ]]-amazon_store_sales_2022__1[[#This Row],[Total Discount]]</f>
        <v>289.82800000000003</v>
      </c>
      <c r="M280">
        <f>YEAR(amazon_store_sales_2022__1[[#This Row],[OrderDate]])</f>
        <v>2022</v>
      </c>
      <c r="N280" t="str" cm="1">
        <f t="array" ref="N280">_xlfn.IFS(L280&lt;500," VeryLow",L280&lt;1000,"Low",L280&lt;2000,"Medium",L280&lt;3000,"High",L280&lt;5000,"VeryHigh")</f>
        <v xml:space="preserve"> VeryLow</v>
      </c>
      <c r="O280" t="str" cm="1">
        <f t="array" ref="O280">_xlfn.IFS(G280&lt;0.09,"Low",G280&lt;0.2,"Medium",G280&lt;0.4,"High")</f>
        <v>Medium</v>
      </c>
    </row>
    <row r="281" spans="1:15" x14ac:dyDescent="0.3">
      <c r="A281">
        <v>10280</v>
      </c>
      <c r="B281" s="1">
        <v>44841</v>
      </c>
      <c r="C281">
        <v>2050</v>
      </c>
      <c r="D281" t="s">
        <v>14</v>
      </c>
      <c r="E281">
        <v>9</v>
      </c>
      <c r="F281">
        <v>119.41</v>
      </c>
      <c r="G281">
        <v>0.19</v>
      </c>
      <c r="H281" t="s">
        <v>15</v>
      </c>
      <c r="I281" t="s">
        <v>11</v>
      </c>
      <c r="J281">
        <f>amazon_store_sales_2022__1[[#This Row],[UnitPrice]]*amazon_store_sales_2022__1[[#This Row],[Quantity]]</f>
        <v>1074.69</v>
      </c>
      <c r="K281">
        <f>amazon_store_sales_2022__1[[#This Row],[Total ]]*amazon_store_sales_2022__1[[#This Row],[Discount]]</f>
        <v>204.19110000000001</v>
      </c>
      <c r="L281" s="13">
        <f>amazon_store_sales_2022__1[[#This Row],[Total ]]-amazon_store_sales_2022__1[[#This Row],[Total Discount]]</f>
        <v>870.49890000000005</v>
      </c>
      <c r="M281">
        <f>YEAR(amazon_store_sales_2022__1[[#This Row],[OrderDate]])</f>
        <v>2022</v>
      </c>
      <c r="N281" t="str" cm="1">
        <f t="array" ref="N281">_xlfn.IFS(L281&lt;500," VeryLow",L281&lt;1000,"Low",L281&lt;2000,"Medium",L281&lt;3000,"High",L281&lt;5000,"VeryHigh")</f>
        <v>Low</v>
      </c>
      <c r="O281" t="str" cm="1">
        <f t="array" ref="O281">_xlfn.IFS(G281&lt;0.09,"Low",G281&lt;0.2,"Medium",G281&lt;0.4,"High")</f>
        <v>Medium</v>
      </c>
    </row>
    <row r="282" spans="1:15" x14ac:dyDescent="0.3">
      <c r="A282">
        <v>10281</v>
      </c>
      <c r="B282" s="1">
        <v>44842</v>
      </c>
      <c r="C282">
        <v>2023</v>
      </c>
      <c r="D282" t="s">
        <v>16</v>
      </c>
      <c r="E282">
        <v>6</v>
      </c>
      <c r="F282">
        <v>30.59</v>
      </c>
      <c r="G282">
        <v>0.23</v>
      </c>
      <c r="H282" t="s">
        <v>10</v>
      </c>
      <c r="I282" t="s">
        <v>18</v>
      </c>
      <c r="J282">
        <f>amazon_store_sales_2022__1[[#This Row],[UnitPrice]]*amazon_store_sales_2022__1[[#This Row],[Quantity]]</f>
        <v>183.54</v>
      </c>
      <c r="K282">
        <f>amazon_store_sales_2022__1[[#This Row],[Total ]]*amazon_store_sales_2022__1[[#This Row],[Discount]]</f>
        <v>42.214199999999998</v>
      </c>
      <c r="L282" s="13">
        <f>amazon_store_sales_2022__1[[#This Row],[Total ]]-amazon_store_sales_2022__1[[#This Row],[Total Discount]]</f>
        <v>141.32579999999999</v>
      </c>
      <c r="M282">
        <f>YEAR(amazon_store_sales_2022__1[[#This Row],[OrderDate]])</f>
        <v>2022</v>
      </c>
      <c r="N282" t="str" cm="1">
        <f t="array" ref="N282">_xlfn.IFS(L282&lt;500," VeryLow",L282&lt;1000,"Low",L282&lt;2000,"Medium",L282&lt;3000,"High",L282&lt;5000,"VeryHigh")</f>
        <v xml:space="preserve"> VeryLow</v>
      </c>
      <c r="O282" t="str" cm="1">
        <f t="array" ref="O282">_xlfn.IFS(G282&lt;0.09,"Low",G282&lt;0.2,"Medium",G282&lt;0.4,"High")</f>
        <v>High</v>
      </c>
    </row>
    <row r="283" spans="1:15" x14ac:dyDescent="0.3">
      <c r="A283">
        <v>10282</v>
      </c>
      <c r="B283" s="1">
        <v>44843</v>
      </c>
      <c r="C283">
        <v>2031</v>
      </c>
      <c r="D283" t="s">
        <v>16</v>
      </c>
      <c r="E283">
        <v>7</v>
      </c>
      <c r="F283">
        <v>321.8</v>
      </c>
      <c r="G283">
        <v>7.0000000000000007E-2</v>
      </c>
      <c r="H283" t="s">
        <v>15</v>
      </c>
      <c r="I283" t="s">
        <v>11</v>
      </c>
      <c r="J283">
        <f>amazon_store_sales_2022__1[[#This Row],[UnitPrice]]*amazon_store_sales_2022__1[[#This Row],[Quantity]]</f>
        <v>2252.6</v>
      </c>
      <c r="K283">
        <f>amazon_store_sales_2022__1[[#This Row],[Total ]]*amazon_store_sales_2022__1[[#This Row],[Discount]]</f>
        <v>157.68200000000002</v>
      </c>
      <c r="L283" s="13">
        <f>amazon_store_sales_2022__1[[#This Row],[Total ]]-amazon_store_sales_2022__1[[#This Row],[Total Discount]]</f>
        <v>2094.9179999999997</v>
      </c>
      <c r="M283">
        <f>YEAR(amazon_store_sales_2022__1[[#This Row],[OrderDate]])</f>
        <v>2022</v>
      </c>
      <c r="N283" t="str" cm="1">
        <f t="array" ref="N283">_xlfn.IFS(L283&lt;500," VeryLow",L283&lt;1000,"Low",L283&lt;2000,"Medium",L283&lt;3000,"High",L283&lt;5000,"VeryHigh")</f>
        <v>High</v>
      </c>
      <c r="O283" t="str" cm="1">
        <f t="array" ref="O283">_xlfn.IFS(G283&lt;0.09,"Low",G283&lt;0.2,"Medium",G283&lt;0.4,"High")</f>
        <v>Low</v>
      </c>
    </row>
    <row r="284" spans="1:15" x14ac:dyDescent="0.3">
      <c r="A284">
        <v>10283</v>
      </c>
      <c r="B284" s="1">
        <v>44844</v>
      </c>
      <c r="C284">
        <v>2094</v>
      </c>
      <c r="D284" t="s">
        <v>16</v>
      </c>
      <c r="E284">
        <v>5</v>
      </c>
      <c r="F284">
        <v>116.23</v>
      </c>
      <c r="G284">
        <v>0.04</v>
      </c>
      <c r="H284" t="s">
        <v>10</v>
      </c>
      <c r="I284" t="s">
        <v>18</v>
      </c>
      <c r="J284">
        <f>amazon_store_sales_2022__1[[#This Row],[UnitPrice]]*amazon_store_sales_2022__1[[#This Row],[Quantity]]</f>
        <v>581.15</v>
      </c>
      <c r="K284">
        <f>amazon_store_sales_2022__1[[#This Row],[Total ]]*amazon_store_sales_2022__1[[#This Row],[Discount]]</f>
        <v>23.245999999999999</v>
      </c>
      <c r="L284" s="13">
        <f>amazon_store_sales_2022__1[[#This Row],[Total ]]-amazon_store_sales_2022__1[[#This Row],[Total Discount]]</f>
        <v>557.904</v>
      </c>
      <c r="M284">
        <f>YEAR(amazon_store_sales_2022__1[[#This Row],[OrderDate]])</f>
        <v>2022</v>
      </c>
      <c r="N284" t="str" cm="1">
        <f t="array" ref="N284">_xlfn.IFS(L284&lt;500," VeryLow",L284&lt;1000,"Low",L284&lt;2000,"Medium",L284&lt;3000,"High",L284&lt;5000,"VeryHigh")</f>
        <v>Low</v>
      </c>
      <c r="O284" t="str" cm="1">
        <f t="array" ref="O284">_xlfn.IFS(G284&lt;0.09,"Low",G284&lt;0.2,"Medium",G284&lt;0.4,"High")</f>
        <v>Low</v>
      </c>
    </row>
    <row r="285" spans="1:15" x14ac:dyDescent="0.3">
      <c r="A285">
        <v>10284</v>
      </c>
      <c r="B285" s="1">
        <v>44845</v>
      </c>
      <c r="C285">
        <v>2042</v>
      </c>
      <c r="D285" t="s">
        <v>16</v>
      </c>
      <c r="E285">
        <v>6</v>
      </c>
      <c r="F285">
        <v>94.11</v>
      </c>
      <c r="G285">
        <v>0.2</v>
      </c>
      <c r="H285" t="s">
        <v>17</v>
      </c>
      <c r="I285" t="s">
        <v>18</v>
      </c>
      <c r="J285">
        <f>amazon_store_sales_2022__1[[#This Row],[UnitPrice]]*amazon_store_sales_2022__1[[#This Row],[Quantity]]</f>
        <v>564.66</v>
      </c>
      <c r="K285">
        <f>amazon_store_sales_2022__1[[#This Row],[Total ]]*amazon_store_sales_2022__1[[#This Row],[Discount]]</f>
        <v>112.932</v>
      </c>
      <c r="L285" s="13">
        <f>amazon_store_sales_2022__1[[#This Row],[Total ]]-amazon_store_sales_2022__1[[#This Row],[Total Discount]]</f>
        <v>451.72799999999995</v>
      </c>
      <c r="M285">
        <f>YEAR(amazon_store_sales_2022__1[[#This Row],[OrderDate]])</f>
        <v>2022</v>
      </c>
      <c r="N285" t="str" cm="1">
        <f t="array" ref="N285">_xlfn.IFS(L285&lt;500," VeryLow",L285&lt;1000,"Low",L285&lt;2000,"Medium",L285&lt;3000,"High",L285&lt;5000,"VeryHigh")</f>
        <v xml:space="preserve"> VeryLow</v>
      </c>
      <c r="O285" t="str" cm="1">
        <f t="array" ref="O285">_xlfn.IFS(G285&lt;0.09,"Low",G285&lt;0.2,"Medium",G285&lt;0.4,"High")</f>
        <v>High</v>
      </c>
    </row>
    <row r="286" spans="1:15" x14ac:dyDescent="0.3">
      <c r="A286">
        <v>10285</v>
      </c>
      <c r="B286" s="1">
        <v>44846</v>
      </c>
      <c r="C286">
        <v>2099</v>
      </c>
      <c r="D286" t="s">
        <v>12</v>
      </c>
      <c r="E286">
        <v>5</v>
      </c>
      <c r="F286">
        <v>48.84</v>
      </c>
      <c r="G286">
        <v>0</v>
      </c>
      <c r="H286" t="s">
        <v>20</v>
      </c>
      <c r="I286" t="s">
        <v>11</v>
      </c>
      <c r="J286">
        <f>amazon_store_sales_2022__1[[#This Row],[UnitPrice]]*amazon_store_sales_2022__1[[#This Row],[Quantity]]</f>
        <v>244.20000000000002</v>
      </c>
      <c r="K286">
        <f>amazon_store_sales_2022__1[[#This Row],[Total ]]*amazon_store_sales_2022__1[[#This Row],[Discount]]</f>
        <v>0</v>
      </c>
      <c r="L286" s="13">
        <f>amazon_store_sales_2022__1[[#This Row],[Total ]]-amazon_store_sales_2022__1[[#This Row],[Total Discount]]</f>
        <v>244.20000000000002</v>
      </c>
      <c r="M286">
        <f>YEAR(amazon_store_sales_2022__1[[#This Row],[OrderDate]])</f>
        <v>2022</v>
      </c>
      <c r="N286" t="str" cm="1">
        <f t="array" ref="N286">_xlfn.IFS(L286&lt;500," VeryLow",L286&lt;1000,"Low",L286&lt;2000,"Medium",L286&lt;3000,"High",L286&lt;5000,"VeryHigh")</f>
        <v xml:space="preserve"> VeryLow</v>
      </c>
      <c r="O286" t="str" cm="1">
        <f t="array" ref="O286">_xlfn.IFS(G286&lt;0.09,"Low",G286&lt;0.2,"Medium",G286&lt;0.4,"High")</f>
        <v>Low</v>
      </c>
    </row>
    <row r="287" spans="1:15" x14ac:dyDescent="0.3">
      <c r="A287">
        <v>10286</v>
      </c>
      <c r="B287" s="1">
        <v>44847</v>
      </c>
      <c r="C287">
        <v>2007</v>
      </c>
      <c r="D287" t="s">
        <v>12</v>
      </c>
      <c r="E287">
        <v>9</v>
      </c>
      <c r="F287">
        <v>56.14</v>
      </c>
      <c r="G287">
        <v>0.05</v>
      </c>
      <c r="H287" t="s">
        <v>15</v>
      </c>
      <c r="I287" t="s">
        <v>11</v>
      </c>
      <c r="J287">
        <f>amazon_store_sales_2022__1[[#This Row],[UnitPrice]]*amazon_store_sales_2022__1[[#This Row],[Quantity]]</f>
        <v>505.26</v>
      </c>
      <c r="K287">
        <f>amazon_store_sales_2022__1[[#This Row],[Total ]]*amazon_store_sales_2022__1[[#This Row],[Discount]]</f>
        <v>25.263000000000002</v>
      </c>
      <c r="L287" s="13">
        <f>amazon_store_sales_2022__1[[#This Row],[Total ]]-amazon_store_sales_2022__1[[#This Row],[Total Discount]]</f>
        <v>479.99700000000001</v>
      </c>
      <c r="M287">
        <f>YEAR(amazon_store_sales_2022__1[[#This Row],[OrderDate]])</f>
        <v>2022</v>
      </c>
      <c r="N287" t="str" cm="1">
        <f t="array" ref="N287">_xlfn.IFS(L287&lt;500," VeryLow",L287&lt;1000,"Low",L287&lt;2000,"Medium",L287&lt;3000,"High",L287&lt;5000,"VeryHigh")</f>
        <v xml:space="preserve"> VeryLow</v>
      </c>
      <c r="O287" t="str" cm="1">
        <f t="array" ref="O287">_xlfn.IFS(G287&lt;0.09,"Low",G287&lt;0.2,"Medium",G287&lt;0.4,"High")</f>
        <v>Low</v>
      </c>
    </row>
    <row r="288" spans="1:15" x14ac:dyDescent="0.3">
      <c r="A288">
        <v>10287</v>
      </c>
      <c r="B288" s="1">
        <v>44848</v>
      </c>
      <c r="C288">
        <v>2016</v>
      </c>
      <c r="D288" t="s">
        <v>14</v>
      </c>
      <c r="E288">
        <v>6</v>
      </c>
      <c r="F288">
        <v>294.41000000000003</v>
      </c>
      <c r="G288">
        <v>0.01</v>
      </c>
      <c r="H288" t="s">
        <v>13</v>
      </c>
      <c r="I288" t="s">
        <v>11</v>
      </c>
      <c r="J288">
        <f>amazon_store_sales_2022__1[[#This Row],[UnitPrice]]*amazon_store_sales_2022__1[[#This Row],[Quantity]]</f>
        <v>1766.46</v>
      </c>
      <c r="K288">
        <f>amazon_store_sales_2022__1[[#This Row],[Total ]]*amazon_store_sales_2022__1[[#This Row],[Discount]]</f>
        <v>17.6646</v>
      </c>
      <c r="L288" s="13">
        <f>amazon_store_sales_2022__1[[#This Row],[Total ]]-amazon_store_sales_2022__1[[#This Row],[Total Discount]]</f>
        <v>1748.7954</v>
      </c>
      <c r="M288">
        <f>YEAR(amazon_store_sales_2022__1[[#This Row],[OrderDate]])</f>
        <v>2022</v>
      </c>
      <c r="N288" t="str" cm="1">
        <f t="array" ref="N288">_xlfn.IFS(L288&lt;500," VeryLow",L288&lt;1000,"Low",L288&lt;2000,"Medium",L288&lt;3000,"High",L288&lt;5000,"VeryHigh")</f>
        <v>Medium</v>
      </c>
      <c r="O288" t="str" cm="1">
        <f t="array" ref="O288">_xlfn.IFS(G288&lt;0.09,"Low",G288&lt;0.2,"Medium",G288&lt;0.4,"High")</f>
        <v>Low</v>
      </c>
    </row>
    <row r="289" spans="1:15" x14ac:dyDescent="0.3">
      <c r="A289">
        <v>10288</v>
      </c>
      <c r="B289" s="1">
        <v>44849</v>
      </c>
      <c r="C289">
        <v>2090</v>
      </c>
      <c r="D289" t="s">
        <v>19</v>
      </c>
      <c r="E289">
        <v>8</v>
      </c>
      <c r="F289">
        <v>345.66</v>
      </c>
      <c r="G289">
        <v>0.05</v>
      </c>
      <c r="H289" t="s">
        <v>20</v>
      </c>
      <c r="I289" t="s">
        <v>18</v>
      </c>
      <c r="J289">
        <f>amazon_store_sales_2022__1[[#This Row],[UnitPrice]]*amazon_store_sales_2022__1[[#This Row],[Quantity]]</f>
        <v>2765.28</v>
      </c>
      <c r="K289">
        <f>amazon_store_sales_2022__1[[#This Row],[Total ]]*amazon_store_sales_2022__1[[#This Row],[Discount]]</f>
        <v>138.26400000000001</v>
      </c>
      <c r="L289" s="13">
        <f>amazon_store_sales_2022__1[[#This Row],[Total ]]-amazon_store_sales_2022__1[[#This Row],[Total Discount]]</f>
        <v>2627.0160000000001</v>
      </c>
      <c r="M289">
        <f>YEAR(amazon_store_sales_2022__1[[#This Row],[OrderDate]])</f>
        <v>2022</v>
      </c>
      <c r="N289" t="str" cm="1">
        <f t="array" ref="N289">_xlfn.IFS(L289&lt;500," VeryLow",L289&lt;1000,"Low",L289&lt;2000,"Medium",L289&lt;3000,"High",L289&lt;5000,"VeryHigh")</f>
        <v>High</v>
      </c>
      <c r="O289" t="str" cm="1">
        <f t="array" ref="O289">_xlfn.IFS(G289&lt;0.09,"Low",G289&lt;0.2,"Medium",G289&lt;0.4,"High")</f>
        <v>Low</v>
      </c>
    </row>
    <row r="290" spans="1:15" x14ac:dyDescent="0.3">
      <c r="A290">
        <v>10289</v>
      </c>
      <c r="B290" s="1">
        <v>44850</v>
      </c>
      <c r="C290">
        <v>2060</v>
      </c>
      <c r="D290" t="s">
        <v>16</v>
      </c>
      <c r="E290">
        <v>2</v>
      </c>
      <c r="F290">
        <v>201.7</v>
      </c>
      <c r="G290">
        <v>0.05</v>
      </c>
      <c r="H290" t="s">
        <v>13</v>
      </c>
      <c r="I290" t="s">
        <v>18</v>
      </c>
      <c r="J290">
        <f>amazon_store_sales_2022__1[[#This Row],[UnitPrice]]*amazon_store_sales_2022__1[[#This Row],[Quantity]]</f>
        <v>403.4</v>
      </c>
      <c r="K290">
        <f>amazon_store_sales_2022__1[[#This Row],[Total ]]*amazon_store_sales_2022__1[[#This Row],[Discount]]</f>
        <v>20.170000000000002</v>
      </c>
      <c r="L290" s="13">
        <f>amazon_store_sales_2022__1[[#This Row],[Total ]]-amazon_store_sales_2022__1[[#This Row],[Total Discount]]</f>
        <v>383.22999999999996</v>
      </c>
      <c r="M290">
        <f>YEAR(amazon_store_sales_2022__1[[#This Row],[OrderDate]])</f>
        <v>2022</v>
      </c>
      <c r="N290" t="str" cm="1">
        <f t="array" ref="N290">_xlfn.IFS(L290&lt;500," VeryLow",L290&lt;1000,"Low",L290&lt;2000,"Medium",L290&lt;3000,"High",L290&lt;5000,"VeryHigh")</f>
        <v xml:space="preserve"> VeryLow</v>
      </c>
      <c r="O290" t="str" cm="1">
        <f t="array" ref="O290">_xlfn.IFS(G290&lt;0.09,"Low",G290&lt;0.2,"Medium",G290&lt;0.4,"High")</f>
        <v>Low</v>
      </c>
    </row>
    <row r="291" spans="1:15" x14ac:dyDescent="0.3">
      <c r="A291">
        <v>10290</v>
      </c>
      <c r="B291" s="1">
        <v>44851</v>
      </c>
      <c r="C291">
        <v>2002</v>
      </c>
      <c r="D291" t="s">
        <v>19</v>
      </c>
      <c r="E291">
        <v>9</v>
      </c>
      <c r="F291">
        <v>242.55</v>
      </c>
      <c r="G291">
        <v>0.12</v>
      </c>
      <c r="H291" t="s">
        <v>20</v>
      </c>
      <c r="I291" t="s">
        <v>18</v>
      </c>
      <c r="J291">
        <f>amazon_store_sales_2022__1[[#This Row],[UnitPrice]]*amazon_store_sales_2022__1[[#This Row],[Quantity]]</f>
        <v>2182.9500000000003</v>
      </c>
      <c r="K291">
        <f>amazon_store_sales_2022__1[[#This Row],[Total ]]*amazon_store_sales_2022__1[[#This Row],[Discount]]</f>
        <v>261.95400000000001</v>
      </c>
      <c r="L291" s="13">
        <f>amazon_store_sales_2022__1[[#This Row],[Total ]]-amazon_store_sales_2022__1[[#This Row],[Total Discount]]</f>
        <v>1920.9960000000003</v>
      </c>
      <c r="M291">
        <f>YEAR(amazon_store_sales_2022__1[[#This Row],[OrderDate]])</f>
        <v>2022</v>
      </c>
      <c r="N291" t="str" cm="1">
        <f t="array" ref="N291">_xlfn.IFS(L291&lt;500," VeryLow",L291&lt;1000,"Low",L291&lt;2000,"Medium",L291&lt;3000,"High",L291&lt;5000,"VeryHigh")</f>
        <v>Medium</v>
      </c>
      <c r="O291" t="str" cm="1">
        <f t="array" ref="O291">_xlfn.IFS(G291&lt;0.09,"Low",G291&lt;0.2,"Medium",G291&lt;0.4,"High")</f>
        <v>Medium</v>
      </c>
    </row>
    <row r="292" spans="1:15" x14ac:dyDescent="0.3">
      <c r="A292">
        <v>10291</v>
      </c>
      <c r="B292" s="1">
        <v>44852</v>
      </c>
      <c r="C292">
        <v>2001</v>
      </c>
      <c r="D292" t="s">
        <v>19</v>
      </c>
      <c r="E292">
        <v>5</v>
      </c>
      <c r="F292">
        <v>344.55</v>
      </c>
      <c r="G292">
        <v>0.12</v>
      </c>
      <c r="H292" t="s">
        <v>20</v>
      </c>
      <c r="I292" t="s">
        <v>11</v>
      </c>
      <c r="J292">
        <f>amazon_store_sales_2022__1[[#This Row],[UnitPrice]]*amazon_store_sales_2022__1[[#This Row],[Quantity]]</f>
        <v>1722.75</v>
      </c>
      <c r="K292">
        <f>amazon_store_sales_2022__1[[#This Row],[Total ]]*amazon_store_sales_2022__1[[#This Row],[Discount]]</f>
        <v>206.73</v>
      </c>
      <c r="L292" s="13">
        <f>amazon_store_sales_2022__1[[#This Row],[Total ]]-amazon_store_sales_2022__1[[#This Row],[Total Discount]]</f>
        <v>1516.02</v>
      </c>
      <c r="M292">
        <f>YEAR(amazon_store_sales_2022__1[[#This Row],[OrderDate]])</f>
        <v>2022</v>
      </c>
      <c r="N292" t="str" cm="1">
        <f t="array" ref="N292">_xlfn.IFS(L292&lt;500," VeryLow",L292&lt;1000,"Low",L292&lt;2000,"Medium",L292&lt;3000,"High",L292&lt;5000,"VeryHigh")</f>
        <v>Medium</v>
      </c>
      <c r="O292" t="str" cm="1">
        <f t="array" ref="O292">_xlfn.IFS(G292&lt;0.09,"Low",G292&lt;0.2,"Medium",G292&lt;0.4,"High")</f>
        <v>Medium</v>
      </c>
    </row>
    <row r="293" spans="1:15" x14ac:dyDescent="0.3">
      <c r="A293">
        <v>10292</v>
      </c>
      <c r="B293" s="1">
        <v>44853</v>
      </c>
      <c r="C293">
        <v>2048</v>
      </c>
      <c r="D293" t="s">
        <v>14</v>
      </c>
      <c r="E293">
        <v>7</v>
      </c>
      <c r="F293">
        <v>13.6</v>
      </c>
      <c r="G293">
        <v>0.26</v>
      </c>
      <c r="H293" t="s">
        <v>10</v>
      </c>
      <c r="I293" t="s">
        <v>11</v>
      </c>
      <c r="J293">
        <f>amazon_store_sales_2022__1[[#This Row],[UnitPrice]]*amazon_store_sales_2022__1[[#This Row],[Quantity]]</f>
        <v>95.2</v>
      </c>
      <c r="K293">
        <f>amazon_store_sales_2022__1[[#This Row],[Total ]]*amazon_store_sales_2022__1[[#This Row],[Discount]]</f>
        <v>24.752000000000002</v>
      </c>
      <c r="L293" s="13">
        <f>amazon_store_sales_2022__1[[#This Row],[Total ]]-amazon_store_sales_2022__1[[#This Row],[Total Discount]]</f>
        <v>70.448000000000008</v>
      </c>
      <c r="M293">
        <f>YEAR(amazon_store_sales_2022__1[[#This Row],[OrderDate]])</f>
        <v>2022</v>
      </c>
      <c r="N293" t="str" cm="1">
        <f t="array" ref="N293">_xlfn.IFS(L293&lt;500," VeryLow",L293&lt;1000,"Low",L293&lt;2000,"Medium",L293&lt;3000,"High",L293&lt;5000,"VeryHigh")</f>
        <v xml:space="preserve"> VeryLow</v>
      </c>
      <c r="O293" t="str" cm="1">
        <f t="array" ref="O293">_xlfn.IFS(G293&lt;0.09,"Low",G293&lt;0.2,"Medium",G293&lt;0.4,"High")</f>
        <v>High</v>
      </c>
    </row>
    <row r="294" spans="1:15" x14ac:dyDescent="0.3">
      <c r="A294">
        <v>10293</v>
      </c>
      <c r="B294" s="1">
        <v>44854</v>
      </c>
      <c r="C294">
        <v>2012</v>
      </c>
      <c r="D294" t="s">
        <v>16</v>
      </c>
      <c r="E294">
        <v>1</v>
      </c>
      <c r="F294">
        <v>164.95</v>
      </c>
      <c r="G294">
        <v>0.15</v>
      </c>
      <c r="H294" t="s">
        <v>15</v>
      </c>
      <c r="I294" t="s">
        <v>11</v>
      </c>
      <c r="J294">
        <f>amazon_store_sales_2022__1[[#This Row],[UnitPrice]]*amazon_store_sales_2022__1[[#This Row],[Quantity]]</f>
        <v>164.95</v>
      </c>
      <c r="K294">
        <f>amazon_store_sales_2022__1[[#This Row],[Total ]]*amazon_store_sales_2022__1[[#This Row],[Discount]]</f>
        <v>24.742499999999996</v>
      </c>
      <c r="L294" s="13">
        <f>amazon_store_sales_2022__1[[#This Row],[Total ]]-amazon_store_sales_2022__1[[#This Row],[Total Discount]]</f>
        <v>140.20749999999998</v>
      </c>
      <c r="M294">
        <f>YEAR(amazon_store_sales_2022__1[[#This Row],[OrderDate]])</f>
        <v>2022</v>
      </c>
      <c r="N294" t="str" cm="1">
        <f t="array" ref="N294">_xlfn.IFS(L294&lt;500," VeryLow",L294&lt;1000,"Low",L294&lt;2000,"Medium",L294&lt;3000,"High",L294&lt;5000,"VeryHigh")</f>
        <v xml:space="preserve"> VeryLow</v>
      </c>
      <c r="O294" t="str" cm="1">
        <f t="array" ref="O294">_xlfn.IFS(G294&lt;0.09,"Low",G294&lt;0.2,"Medium",G294&lt;0.4,"High")</f>
        <v>Medium</v>
      </c>
    </row>
    <row r="295" spans="1:15" x14ac:dyDescent="0.3">
      <c r="A295">
        <v>10294</v>
      </c>
      <c r="B295" s="1">
        <v>44855</v>
      </c>
      <c r="C295">
        <v>2069</v>
      </c>
      <c r="D295" t="s">
        <v>16</v>
      </c>
      <c r="E295">
        <v>5</v>
      </c>
      <c r="F295">
        <v>486.68</v>
      </c>
      <c r="G295">
        <v>0.22</v>
      </c>
      <c r="H295" t="s">
        <v>15</v>
      </c>
      <c r="I295" t="s">
        <v>11</v>
      </c>
      <c r="J295">
        <f>amazon_store_sales_2022__1[[#This Row],[UnitPrice]]*amazon_store_sales_2022__1[[#This Row],[Quantity]]</f>
        <v>2433.4</v>
      </c>
      <c r="K295">
        <f>amazon_store_sales_2022__1[[#This Row],[Total ]]*amazon_store_sales_2022__1[[#This Row],[Discount]]</f>
        <v>535.34800000000007</v>
      </c>
      <c r="L295" s="13">
        <f>amazon_store_sales_2022__1[[#This Row],[Total ]]-amazon_store_sales_2022__1[[#This Row],[Total Discount]]</f>
        <v>1898.0520000000001</v>
      </c>
      <c r="M295">
        <f>YEAR(amazon_store_sales_2022__1[[#This Row],[OrderDate]])</f>
        <v>2022</v>
      </c>
      <c r="N295" t="str" cm="1">
        <f t="array" ref="N295">_xlfn.IFS(L295&lt;500," VeryLow",L295&lt;1000,"Low",L295&lt;2000,"Medium",L295&lt;3000,"High",L295&lt;5000,"VeryHigh")</f>
        <v>Medium</v>
      </c>
      <c r="O295" t="str" cm="1">
        <f t="array" ref="O295">_xlfn.IFS(G295&lt;0.09,"Low",G295&lt;0.2,"Medium",G295&lt;0.4,"High")</f>
        <v>High</v>
      </c>
    </row>
    <row r="296" spans="1:15" x14ac:dyDescent="0.3">
      <c r="A296">
        <v>10295</v>
      </c>
      <c r="B296" s="1">
        <v>44856</v>
      </c>
      <c r="C296">
        <v>2037</v>
      </c>
      <c r="D296" t="s">
        <v>9</v>
      </c>
      <c r="E296">
        <v>2</v>
      </c>
      <c r="F296">
        <v>292.16000000000003</v>
      </c>
      <c r="G296">
        <v>0.03</v>
      </c>
      <c r="H296" t="s">
        <v>20</v>
      </c>
      <c r="I296" t="s">
        <v>18</v>
      </c>
      <c r="J296">
        <f>amazon_store_sales_2022__1[[#This Row],[UnitPrice]]*amazon_store_sales_2022__1[[#This Row],[Quantity]]</f>
        <v>584.32000000000005</v>
      </c>
      <c r="K296">
        <f>amazon_store_sales_2022__1[[#This Row],[Total ]]*amazon_store_sales_2022__1[[#This Row],[Discount]]</f>
        <v>17.529600000000002</v>
      </c>
      <c r="L296" s="13">
        <f>amazon_store_sales_2022__1[[#This Row],[Total ]]-amazon_store_sales_2022__1[[#This Row],[Total Discount]]</f>
        <v>566.79040000000009</v>
      </c>
      <c r="M296">
        <f>YEAR(amazon_store_sales_2022__1[[#This Row],[OrderDate]])</f>
        <v>2022</v>
      </c>
      <c r="N296" t="str" cm="1">
        <f t="array" ref="N296">_xlfn.IFS(L296&lt;500," VeryLow",L296&lt;1000,"Low",L296&lt;2000,"Medium",L296&lt;3000,"High",L296&lt;5000,"VeryHigh")</f>
        <v>Low</v>
      </c>
      <c r="O296" t="str" cm="1">
        <f t="array" ref="O296">_xlfn.IFS(G296&lt;0.09,"Low",G296&lt;0.2,"Medium",G296&lt;0.4,"High")</f>
        <v>Low</v>
      </c>
    </row>
    <row r="297" spans="1:15" x14ac:dyDescent="0.3">
      <c r="A297">
        <v>10296</v>
      </c>
      <c r="B297" s="1">
        <v>44857</v>
      </c>
      <c r="C297">
        <v>2032</v>
      </c>
      <c r="D297" t="s">
        <v>19</v>
      </c>
      <c r="E297">
        <v>6</v>
      </c>
      <c r="F297">
        <v>130.84</v>
      </c>
      <c r="G297">
        <v>7.0000000000000007E-2</v>
      </c>
      <c r="H297" t="s">
        <v>17</v>
      </c>
      <c r="I297" t="s">
        <v>18</v>
      </c>
      <c r="J297">
        <f>amazon_store_sales_2022__1[[#This Row],[UnitPrice]]*amazon_store_sales_2022__1[[#This Row],[Quantity]]</f>
        <v>785.04</v>
      </c>
      <c r="K297">
        <f>amazon_store_sales_2022__1[[#This Row],[Total ]]*amazon_store_sales_2022__1[[#This Row],[Discount]]</f>
        <v>54.952800000000003</v>
      </c>
      <c r="L297" s="13">
        <f>amazon_store_sales_2022__1[[#This Row],[Total ]]-amazon_store_sales_2022__1[[#This Row],[Total Discount]]</f>
        <v>730.08719999999994</v>
      </c>
      <c r="M297">
        <f>YEAR(amazon_store_sales_2022__1[[#This Row],[OrderDate]])</f>
        <v>2022</v>
      </c>
      <c r="N297" t="str" cm="1">
        <f t="array" ref="N297">_xlfn.IFS(L297&lt;500," VeryLow",L297&lt;1000,"Low",L297&lt;2000,"Medium",L297&lt;3000,"High",L297&lt;5000,"VeryHigh")</f>
        <v>Low</v>
      </c>
      <c r="O297" t="str" cm="1">
        <f t="array" ref="O297">_xlfn.IFS(G297&lt;0.09,"Low",G297&lt;0.2,"Medium",G297&lt;0.4,"High")</f>
        <v>Low</v>
      </c>
    </row>
    <row r="298" spans="1:15" x14ac:dyDescent="0.3">
      <c r="A298">
        <v>10297</v>
      </c>
      <c r="B298" s="1">
        <v>44858</v>
      </c>
      <c r="C298">
        <v>2009</v>
      </c>
      <c r="D298" t="s">
        <v>19</v>
      </c>
      <c r="E298">
        <v>1</v>
      </c>
      <c r="F298">
        <v>263.26</v>
      </c>
      <c r="G298">
        <v>0.21</v>
      </c>
      <c r="H298" t="s">
        <v>17</v>
      </c>
      <c r="I298" t="s">
        <v>18</v>
      </c>
      <c r="J298">
        <f>amazon_store_sales_2022__1[[#This Row],[UnitPrice]]*amazon_store_sales_2022__1[[#This Row],[Quantity]]</f>
        <v>263.26</v>
      </c>
      <c r="K298">
        <f>amazon_store_sales_2022__1[[#This Row],[Total ]]*amazon_store_sales_2022__1[[#This Row],[Discount]]</f>
        <v>55.284599999999998</v>
      </c>
      <c r="L298" s="13">
        <f>amazon_store_sales_2022__1[[#This Row],[Total ]]-amazon_store_sales_2022__1[[#This Row],[Total Discount]]</f>
        <v>207.97539999999998</v>
      </c>
      <c r="M298">
        <f>YEAR(amazon_store_sales_2022__1[[#This Row],[OrderDate]])</f>
        <v>2022</v>
      </c>
      <c r="N298" t="str" cm="1">
        <f t="array" ref="N298">_xlfn.IFS(L298&lt;500," VeryLow",L298&lt;1000,"Low",L298&lt;2000,"Medium",L298&lt;3000,"High",L298&lt;5000,"VeryHigh")</f>
        <v xml:space="preserve"> VeryLow</v>
      </c>
      <c r="O298" t="str" cm="1">
        <f t="array" ref="O298">_xlfn.IFS(G298&lt;0.09,"Low",G298&lt;0.2,"Medium",G298&lt;0.4,"High")</f>
        <v>High</v>
      </c>
    </row>
    <row r="299" spans="1:15" x14ac:dyDescent="0.3">
      <c r="A299">
        <v>10298</v>
      </c>
      <c r="B299" s="1">
        <v>44859</v>
      </c>
      <c r="C299">
        <v>2099</v>
      </c>
      <c r="D299" t="s">
        <v>12</v>
      </c>
      <c r="E299">
        <v>3</v>
      </c>
      <c r="F299">
        <v>174.61</v>
      </c>
      <c r="G299">
        <v>0.02</v>
      </c>
      <c r="H299" t="s">
        <v>13</v>
      </c>
      <c r="I299" t="s">
        <v>18</v>
      </c>
      <c r="J299">
        <f>amazon_store_sales_2022__1[[#This Row],[UnitPrice]]*amazon_store_sales_2022__1[[#This Row],[Quantity]]</f>
        <v>523.83000000000004</v>
      </c>
      <c r="K299">
        <f>amazon_store_sales_2022__1[[#This Row],[Total ]]*amazon_store_sales_2022__1[[#This Row],[Discount]]</f>
        <v>10.476600000000001</v>
      </c>
      <c r="L299" s="13">
        <f>amazon_store_sales_2022__1[[#This Row],[Total ]]-amazon_store_sales_2022__1[[#This Row],[Total Discount]]</f>
        <v>513.35340000000008</v>
      </c>
      <c r="M299">
        <f>YEAR(amazon_store_sales_2022__1[[#This Row],[OrderDate]])</f>
        <v>2022</v>
      </c>
      <c r="N299" t="str" cm="1">
        <f t="array" ref="N299">_xlfn.IFS(L299&lt;500," VeryLow",L299&lt;1000,"Low",L299&lt;2000,"Medium",L299&lt;3000,"High",L299&lt;5000,"VeryHigh")</f>
        <v>Low</v>
      </c>
      <c r="O299" t="str" cm="1">
        <f t="array" ref="O299">_xlfn.IFS(G299&lt;0.09,"Low",G299&lt;0.2,"Medium",G299&lt;0.4,"High")</f>
        <v>Low</v>
      </c>
    </row>
    <row r="300" spans="1:15" x14ac:dyDescent="0.3">
      <c r="A300">
        <v>10299</v>
      </c>
      <c r="B300" s="1">
        <v>44860</v>
      </c>
      <c r="C300">
        <v>2019</v>
      </c>
      <c r="D300" t="s">
        <v>9</v>
      </c>
      <c r="E300">
        <v>5</v>
      </c>
      <c r="F300">
        <v>268.45999999999998</v>
      </c>
      <c r="G300">
        <v>0.15</v>
      </c>
      <c r="H300" t="s">
        <v>13</v>
      </c>
      <c r="I300" t="s">
        <v>11</v>
      </c>
      <c r="J300">
        <f>amazon_store_sales_2022__1[[#This Row],[UnitPrice]]*amazon_store_sales_2022__1[[#This Row],[Quantity]]</f>
        <v>1342.3</v>
      </c>
      <c r="K300">
        <f>amazon_store_sales_2022__1[[#This Row],[Total ]]*amazon_store_sales_2022__1[[#This Row],[Discount]]</f>
        <v>201.345</v>
      </c>
      <c r="L300" s="13">
        <f>amazon_store_sales_2022__1[[#This Row],[Total ]]-amazon_store_sales_2022__1[[#This Row],[Total Discount]]</f>
        <v>1140.9549999999999</v>
      </c>
      <c r="M300">
        <f>YEAR(amazon_store_sales_2022__1[[#This Row],[OrderDate]])</f>
        <v>2022</v>
      </c>
      <c r="N300" t="str" cm="1">
        <f t="array" ref="N300">_xlfn.IFS(L300&lt;500," VeryLow",L300&lt;1000,"Low",L300&lt;2000,"Medium",L300&lt;3000,"High",L300&lt;5000,"VeryHigh")</f>
        <v>Medium</v>
      </c>
      <c r="O300" t="str" cm="1">
        <f t="array" ref="O300">_xlfn.IFS(G300&lt;0.09,"Low",G300&lt;0.2,"Medium",G300&lt;0.4,"High")</f>
        <v>Medium</v>
      </c>
    </row>
    <row r="301" spans="1:15" x14ac:dyDescent="0.3">
      <c r="A301">
        <v>10300</v>
      </c>
      <c r="B301" s="1">
        <v>44861</v>
      </c>
      <c r="C301">
        <v>2048</v>
      </c>
      <c r="D301" t="s">
        <v>12</v>
      </c>
      <c r="E301">
        <v>4</v>
      </c>
      <c r="F301">
        <v>67.239999999999995</v>
      </c>
      <c r="G301">
        <v>0.18</v>
      </c>
      <c r="H301" t="s">
        <v>10</v>
      </c>
      <c r="I301" t="s">
        <v>11</v>
      </c>
      <c r="J301">
        <f>amazon_store_sales_2022__1[[#This Row],[UnitPrice]]*amazon_store_sales_2022__1[[#This Row],[Quantity]]</f>
        <v>268.95999999999998</v>
      </c>
      <c r="K301">
        <f>amazon_store_sales_2022__1[[#This Row],[Total ]]*amazon_store_sales_2022__1[[#This Row],[Discount]]</f>
        <v>48.412799999999997</v>
      </c>
      <c r="L301" s="13">
        <f>amazon_store_sales_2022__1[[#This Row],[Total ]]-amazon_store_sales_2022__1[[#This Row],[Total Discount]]</f>
        <v>220.54719999999998</v>
      </c>
      <c r="M301">
        <f>YEAR(amazon_store_sales_2022__1[[#This Row],[OrderDate]])</f>
        <v>2022</v>
      </c>
      <c r="N301" t="str" cm="1">
        <f t="array" ref="N301">_xlfn.IFS(L301&lt;500," VeryLow",L301&lt;1000,"Low",L301&lt;2000,"Medium",L301&lt;3000,"High",L301&lt;5000,"VeryHigh")</f>
        <v xml:space="preserve"> VeryLow</v>
      </c>
      <c r="O301" t="str" cm="1">
        <f t="array" ref="O301">_xlfn.IFS(G301&lt;0.09,"Low",G301&lt;0.2,"Medium",G301&lt;0.4,"High")</f>
        <v>Medium</v>
      </c>
    </row>
    <row r="302" spans="1:15" x14ac:dyDescent="0.3">
      <c r="A302">
        <v>10301</v>
      </c>
      <c r="B302" s="1">
        <v>44862</v>
      </c>
      <c r="C302">
        <v>2080</v>
      </c>
      <c r="D302" t="s">
        <v>12</v>
      </c>
      <c r="E302">
        <v>3</v>
      </c>
      <c r="F302">
        <v>70.69</v>
      </c>
      <c r="G302">
        <v>0.18</v>
      </c>
      <c r="H302" t="s">
        <v>20</v>
      </c>
      <c r="I302" t="s">
        <v>11</v>
      </c>
      <c r="J302">
        <f>amazon_store_sales_2022__1[[#This Row],[UnitPrice]]*amazon_store_sales_2022__1[[#This Row],[Quantity]]</f>
        <v>212.07</v>
      </c>
      <c r="K302">
        <f>amazon_store_sales_2022__1[[#This Row],[Total ]]*amazon_store_sales_2022__1[[#This Row],[Discount]]</f>
        <v>38.172599999999996</v>
      </c>
      <c r="L302" s="13">
        <f>amazon_store_sales_2022__1[[#This Row],[Total ]]-amazon_store_sales_2022__1[[#This Row],[Total Discount]]</f>
        <v>173.8974</v>
      </c>
      <c r="M302">
        <f>YEAR(amazon_store_sales_2022__1[[#This Row],[OrderDate]])</f>
        <v>2022</v>
      </c>
      <c r="N302" t="str" cm="1">
        <f t="array" ref="N302">_xlfn.IFS(L302&lt;500," VeryLow",L302&lt;1000,"Low",L302&lt;2000,"Medium",L302&lt;3000,"High",L302&lt;5000,"VeryHigh")</f>
        <v xml:space="preserve"> VeryLow</v>
      </c>
      <c r="O302" t="str" cm="1">
        <f t="array" ref="O302">_xlfn.IFS(G302&lt;0.09,"Low",G302&lt;0.2,"Medium",G302&lt;0.4,"High")</f>
        <v>Medium</v>
      </c>
    </row>
    <row r="303" spans="1:15" x14ac:dyDescent="0.3">
      <c r="A303">
        <v>10302</v>
      </c>
      <c r="B303" s="1">
        <v>44863</v>
      </c>
      <c r="C303">
        <v>2003</v>
      </c>
      <c r="D303" t="s">
        <v>12</v>
      </c>
      <c r="E303">
        <v>5</v>
      </c>
      <c r="F303">
        <v>76.05</v>
      </c>
      <c r="G303">
        <v>0.01</v>
      </c>
      <c r="H303" t="s">
        <v>13</v>
      </c>
      <c r="I303" t="s">
        <v>18</v>
      </c>
      <c r="J303">
        <f>amazon_store_sales_2022__1[[#This Row],[UnitPrice]]*amazon_store_sales_2022__1[[#This Row],[Quantity]]</f>
        <v>380.25</v>
      </c>
      <c r="K303">
        <f>amazon_store_sales_2022__1[[#This Row],[Total ]]*amazon_store_sales_2022__1[[#This Row],[Discount]]</f>
        <v>3.8025000000000002</v>
      </c>
      <c r="L303" s="13">
        <f>amazon_store_sales_2022__1[[#This Row],[Total ]]-amazon_store_sales_2022__1[[#This Row],[Total Discount]]</f>
        <v>376.44749999999999</v>
      </c>
      <c r="M303">
        <f>YEAR(amazon_store_sales_2022__1[[#This Row],[OrderDate]])</f>
        <v>2022</v>
      </c>
      <c r="N303" t="str" cm="1">
        <f t="array" ref="N303">_xlfn.IFS(L303&lt;500," VeryLow",L303&lt;1000,"Low",L303&lt;2000,"Medium",L303&lt;3000,"High",L303&lt;5000,"VeryHigh")</f>
        <v xml:space="preserve"> VeryLow</v>
      </c>
      <c r="O303" t="str" cm="1">
        <f t="array" ref="O303">_xlfn.IFS(G303&lt;0.09,"Low",G303&lt;0.2,"Medium",G303&lt;0.4,"High")</f>
        <v>Low</v>
      </c>
    </row>
    <row r="304" spans="1:15" x14ac:dyDescent="0.3">
      <c r="A304">
        <v>10303</v>
      </c>
      <c r="B304" s="1">
        <v>44864</v>
      </c>
      <c r="C304">
        <v>2020</v>
      </c>
      <c r="D304" t="s">
        <v>14</v>
      </c>
      <c r="E304">
        <v>8</v>
      </c>
      <c r="F304">
        <v>470.21</v>
      </c>
      <c r="G304">
        <v>0.1</v>
      </c>
      <c r="H304" t="s">
        <v>13</v>
      </c>
      <c r="I304" t="s">
        <v>18</v>
      </c>
      <c r="J304">
        <f>amazon_store_sales_2022__1[[#This Row],[UnitPrice]]*amazon_store_sales_2022__1[[#This Row],[Quantity]]</f>
        <v>3761.68</v>
      </c>
      <c r="K304">
        <f>amazon_store_sales_2022__1[[#This Row],[Total ]]*amazon_store_sales_2022__1[[#This Row],[Discount]]</f>
        <v>376.16800000000001</v>
      </c>
      <c r="L304" s="13">
        <f>amazon_store_sales_2022__1[[#This Row],[Total ]]-amazon_store_sales_2022__1[[#This Row],[Total Discount]]</f>
        <v>3385.5119999999997</v>
      </c>
      <c r="M304">
        <f>YEAR(amazon_store_sales_2022__1[[#This Row],[OrderDate]])</f>
        <v>2022</v>
      </c>
      <c r="N304" t="str" cm="1">
        <f t="array" ref="N304">_xlfn.IFS(L304&lt;500," VeryLow",L304&lt;1000,"Low",L304&lt;2000,"Medium",L304&lt;3000,"High",L304&lt;5000,"VeryHigh")</f>
        <v>VeryHigh</v>
      </c>
      <c r="O304" t="str" cm="1">
        <f t="array" ref="O304">_xlfn.IFS(G304&lt;0.09,"Low",G304&lt;0.2,"Medium",G304&lt;0.4,"High")</f>
        <v>Medium</v>
      </c>
    </row>
    <row r="305" spans="1:15" x14ac:dyDescent="0.3">
      <c r="A305">
        <v>10304</v>
      </c>
      <c r="B305" s="1">
        <v>44865</v>
      </c>
      <c r="C305">
        <v>2024</v>
      </c>
      <c r="D305" t="s">
        <v>14</v>
      </c>
      <c r="E305">
        <v>4</v>
      </c>
      <c r="F305">
        <v>367.78</v>
      </c>
      <c r="G305">
        <v>0.19</v>
      </c>
      <c r="H305" t="s">
        <v>20</v>
      </c>
      <c r="I305" t="s">
        <v>11</v>
      </c>
      <c r="J305">
        <f>amazon_store_sales_2022__1[[#This Row],[UnitPrice]]*amazon_store_sales_2022__1[[#This Row],[Quantity]]</f>
        <v>1471.12</v>
      </c>
      <c r="K305">
        <f>amazon_store_sales_2022__1[[#This Row],[Total ]]*amazon_store_sales_2022__1[[#This Row],[Discount]]</f>
        <v>279.51279999999997</v>
      </c>
      <c r="L305" s="13">
        <f>amazon_store_sales_2022__1[[#This Row],[Total ]]-amazon_store_sales_2022__1[[#This Row],[Total Discount]]</f>
        <v>1191.6071999999999</v>
      </c>
      <c r="M305">
        <f>YEAR(amazon_store_sales_2022__1[[#This Row],[OrderDate]])</f>
        <v>2022</v>
      </c>
      <c r="N305" t="str" cm="1">
        <f t="array" ref="N305">_xlfn.IFS(L305&lt;500," VeryLow",L305&lt;1000,"Low",L305&lt;2000,"Medium",L305&lt;3000,"High",L305&lt;5000,"VeryHigh")</f>
        <v>Medium</v>
      </c>
      <c r="O305" t="str" cm="1">
        <f t="array" ref="O305">_xlfn.IFS(G305&lt;0.09,"Low",G305&lt;0.2,"Medium",G305&lt;0.4,"High")</f>
        <v>Medium</v>
      </c>
    </row>
    <row r="306" spans="1:15" x14ac:dyDescent="0.3">
      <c r="A306">
        <v>10305</v>
      </c>
      <c r="B306" s="1">
        <v>44866</v>
      </c>
      <c r="C306">
        <v>2054</v>
      </c>
      <c r="D306" t="s">
        <v>12</v>
      </c>
      <c r="E306">
        <v>1</v>
      </c>
      <c r="F306">
        <v>85.38</v>
      </c>
      <c r="G306">
        <v>0.04</v>
      </c>
      <c r="H306" t="s">
        <v>10</v>
      </c>
      <c r="I306" t="s">
        <v>11</v>
      </c>
      <c r="J306">
        <f>amazon_store_sales_2022__1[[#This Row],[UnitPrice]]*amazon_store_sales_2022__1[[#This Row],[Quantity]]</f>
        <v>85.38</v>
      </c>
      <c r="K306">
        <f>amazon_store_sales_2022__1[[#This Row],[Total ]]*amazon_store_sales_2022__1[[#This Row],[Discount]]</f>
        <v>3.4152</v>
      </c>
      <c r="L306" s="13">
        <f>amazon_store_sales_2022__1[[#This Row],[Total ]]-amazon_store_sales_2022__1[[#This Row],[Total Discount]]</f>
        <v>81.964799999999997</v>
      </c>
      <c r="M306">
        <f>YEAR(amazon_store_sales_2022__1[[#This Row],[OrderDate]])</f>
        <v>2022</v>
      </c>
      <c r="N306" t="str" cm="1">
        <f t="array" ref="N306">_xlfn.IFS(L306&lt;500," VeryLow",L306&lt;1000,"Low",L306&lt;2000,"Medium",L306&lt;3000,"High",L306&lt;5000,"VeryHigh")</f>
        <v xml:space="preserve"> VeryLow</v>
      </c>
      <c r="O306" t="str" cm="1">
        <f t="array" ref="O306">_xlfn.IFS(G306&lt;0.09,"Low",G306&lt;0.2,"Medium",G306&lt;0.4,"High")</f>
        <v>Low</v>
      </c>
    </row>
    <row r="307" spans="1:15" x14ac:dyDescent="0.3">
      <c r="A307">
        <v>10306</v>
      </c>
      <c r="B307" s="1">
        <v>44867</v>
      </c>
      <c r="C307">
        <v>2033</v>
      </c>
      <c r="D307" t="s">
        <v>9</v>
      </c>
      <c r="E307">
        <v>7</v>
      </c>
      <c r="F307">
        <v>98.23</v>
      </c>
      <c r="G307">
        <v>0.21</v>
      </c>
      <c r="H307" t="s">
        <v>13</v>
      </c>
      <c r="I307" t="s">
        <v>18</v>
      </c>
      <c r="J307">
        <f>amazon_store_sales_2022__1[[#This Row],[UnitPrice]]*amazon_store_sales_2022__1[[#This Row],[Quantity]]</f>
        <v>687.61</v>
      </c>
      <c r="K307">
        <f>amazon_store_sales_2022__1[[#This Row],[Total ]]*amazon_store_sales_2022__1[[#This Row],[Discount]]</f>
        <v>144.3981</v>
      </c>
      <c r="L307" s="13">
        <f>amazon_store_sales_2022__1[[#This Row],[Total ]]-amazon_store_sales_2022__1[[#This Row],[Total Discount]]</f>
        <v>543.21190000000001</v>
      </c>
      <c r="M307">
        <f>YEAR(amazon_store_sales_2022__1[[#This Row],[OrderDate]])</f>
        <v>2022</v>
      </c>
      <c r="N307" t="str" cm="1">
        <f t="array" ref="N307">_xlfn.IFS(L307&lt;500," VeryLow",L307&lt;1000,"Low",L307&lt;2000,"Medium",L307&lt;3000,"High",L307&lt;5000,"VeryHigh")</f>
        <v>Low</v>
      </c>
      <c r="O307" t="str" cm="1">
        <f t="array" ref="O307">_xlfn.IFS(G307&lt;0.09,"Low",G307&lt;0.2,"Medium",G307&lt;0.4,"High")</f>
        <v>High</v>
      </c>
    </row>
    <row r="308" spans="1:15" x14ac:dyDescent="0.3">
      <c r="A308">
        <v>10307</v>
      </c>
      <c r="B308" s="1">
        <v>44868</v>
      </c>
      <c r="C308">
        <v>2024</v>
      </c>
      <c r="D308" t="s">
        <v>19</v>
      </c>
      <c r="E308">
        <v>8</v>
      </c>
      <c r="F308">
        <v>366.76</v>
      </c>
      <c r="G308">
        <v>0.22</v>
      </c>
      <c r="H308" t="s">
        <v>10</v>
      </c>
      <c r="I308" t="s">
        <v>11</v>
      </c>
      <c r="J308">
        <f>amazon_store_sales_2022__1[[#This Row],[UnitPrice]]*amazon_store_sales_2022__1[[#This Row],[Quantity]]</f>
        <v>2934.08</v>
      </c>
      <c r="K308">
        <f>amazon_store_sales_2022__1[[#This Row],[Total ]]*amazon_store_sales_2022__1[[#This Row],[Discount]]</f>
        <v>645.49760000000003</v>
      </c>
      <c r="L308" s="13">
        <f>amazon_store_sales_2022__1[[#This Row],[Total ]]-amazon_store_sales_2022__1[[#This Row],[Total Discount]]</f>
        <v>2288.5823999999998</v>
      </c>
      <c r="M308">
        <f>YEAR(amazon_store_sales_2022__1[[#This Row],[OrderDate]])</f>
        <v>2022</v>
      </c>
      <c r="N308" t="str" cm="1">
        <f t="array" ref="N308">_xlfn.IFS(L308&lt;500," VeryLow",L308&lt;1000,"Low",L308&lt;2000,"Medium",L308&lt;3000,"High",L308&lt;5000,"VeryHigh")</f>
        <v>High</v>
      </c>
      <c r="O308" t="str" cm="1">
        <f t="array" ref="O308">_xlfn.IFS(G308&lt;0.09,"Low",G308&lt;0.2,"Medium",G308&lt;0.4,"High")</f>
        <v>High</v>
      </c>
    </row>
    <row r="309" spans="1:15" x14ac:dyDescent="0.3">
      <c r="A309">
        <v>10308</v>
      </c>
      <c r="B309" s="1">
        <v>44869</v>
      </c>
      <c r="C309">
        <v>2075</v>
      </c>
      <c r="D309" t="s">
        <v>9</v>
      </c>
      <c r="E309">
        <v>3</v>
      </c>
      <c r="F309">
        <v>82.3</v>
      </c>
      <c r="G309">
        <v>0.28999999999999998</v>
      </c>
      <c r="H309" t="s">
        <v>15</v>
      </c>
      <c r="I309" t="s">
        <v>18</v>
      </c>
      <c r="J309">
        <f>amazon_store_sales_2022__1[[#This Row],[UnitPrice]]*amazon_store_sales_2022__1[[#This Row],[Quantity]]</f>
        <v>246.89999999999998</v>
      </c>
      <c r="K309">
        <f>amazon_store_sales_2022__1[[#This Row],[Total ]]*amazon_store_sales_2022__1[[#This Row],[Discount]]</f>
        <v>71.600999999999985</v>
      </c>
      <c r="L309" s="13">
        <f>amazon_store_sales_2022__1[[#This Row],[Total ]]-amazon_store_sales_2022__1[[#This Row],[Total Discount]]</f>
        <v>175.29899999999998</v>
      </c>
      <c r="M309">
        <f>YEAR(amazon_store_sales_2022__1[[#This Row],[OrderDate]])</f>
        <v>2022</v>
      </c>
      <c r="N309" t="str" cm="1">
        <f t="array" ref="N309">_xlfn.IFS(L309&lt;500," VeryLow",L309&lt;1000,"Low",L309&lt;2000,"Medium",L309&lt;3000,"High",L309&lt;5000,"VeryHigh")</f>
        <v xml:space="preserve"> VeryLow</v>
      </c>
      <c r="O309" t="str" cm="1">
        <f t="array" ref="O309">_xlfn.IFS(G309&lt;0.09,"Low",G309&lt;0.2,"Medium",G309&lt;0.4,"High")</f>
        <v>High</v>
      </c>
    </row>
    <row r="310" spans="1:15" x14ac:dyDescent="0.3">
      <c r="A310">
        <v>10309</v>
      </c>
      <c r="B310" s="1">
        <v>44870</v>
      </c>
      <c r="C310">
        <v>2072</v>
      </c>
      <c r="D310" t="s">
        <v>16</v>
      </c>
      <c r="E310">
        <v>6</v>
      </c>
      <c r="F310">
        <v>121.11</v>
      </c>
      <c r="G310">
        <v>0.06</v>
      </c>
      <c r="H310" t="s">
        <v>10</v>
      </c>
      <c r="I310" t="s">
        <v>18</v>
      </c>
      <c r="J310">
        <f>amazon_store_sales_2022__1[[#This Row],[UnitPrice]]*amazon_store_sales_2022__1[[#This Row],[Quantity]]</f>
        <v>726.66</v>
      </c>
      <c r="K310">
        <f>amazon_store_sales_2022__1[[#This Row],[Total ]]*amazon_store_sales_2022__1[[#This Row],[Discount]]</f>
        <v>43.599599999999995</v>
      </c>
      <c r="L310" s="13">
        <f>amazon_store_sales_2022__1[[#This Row],[Total ]]-amazon_store_sales_2022__1[[#This Row],[Total Discount]]</f>
        <v>683.06039999999996</v>
      </c>
      <c r="M310">
        <f>YEAR(amazon_store_sales_2022__1[[#This Row],[OrderDate]])</f>
        <v>2022</v>
      </c>
      <c r="N310" t="str" cm="1">
        <f t="array" ref="N310">_xlfn.IFS(L310&lt;500," VeryLow",L310&lt;1000,"Low",L310&lt;2000,"Medium",L310&lt;3000,"High",L310&lt;5000,"VeryHigh")</f>
        <v>Low</v>
      </c>
      <c r="O310" t="str" cm="1">
        <f t="array" ref="O310">_xlfn.IFS(G310&lt;0.09,"Low",G310&lt;0.2,"Medium",G310&lt;0.4,"High")</f>
        <v>Low</v>
      </c>
    </row>
    <row r="311" spans="1:15" x14ac:dyDescent="0.3">
      <c r="A311">
        <v>10310</v>
      </c>
      <c r="B311" s="1">
        <v>44871</v>
      </c>
      <c r="C311">
        <v>2036</v>
      </c>
      <c r="D311" t="s">
        <v>14</v>
      </c>
      <c r="E311">
        <v>2</v>
      </c>
      <c r="F311">
        <v>481.86</v>
      </c>
      <c r="G311">
        <v>0.25</v>
      </c>
      <c r="H311" t="s">
        <v>17</v>
      </c>
      <c r="I311" t="s">
        <v>18</v>
      </c>
      <c r="J311">
        <f>amazon_store_sales_2022__1[[#This Row],[UnitPrice]]*amazon_store_sales_2022__1[[#This Row],[Quantity]]</f>
        <v>963.72</v>
      </c>
      <c r="K311">
        <f>amazon_store_sales_2022__1[[#This Row],[Total ]]*amazon_store_sales_2022__1[[#This Row],[Discount]]</f>
        <v>240.93</v>
      </c>
      <c r="L311" s="13">
        <f>amazon_store_sales_2022__1[[#This Row],[Total ]]-amazon_store_sales_2022__1[[#This Row],[Total Discount]]</f>
        <v>722.79</v>
      </c>
      <c r="M311">
        <f>YEAR(amazon_store_sales_2022__1[[#This Row],[OrderDate]])</f>
        <v>2022</v>
      </c>
      <c r="N311" t="str" cm="1">
        <f t="array" ref="N311">_xlfn.IFS(L311&lt;500," VeryLow",L311&lt;1000,"Low",L311&lt;2000,"Medium",L311&lt;3000,"High",L311&lt;5000,"VeryHigh")</f>
        <v>Low</v>
      </c>
      <c r="O311" t="str" cm="1">
        <f t="array" ref="O311">_xlfn.IFS(G311&lt;0.09,"Low",G311&lt;0.2,"Medium",G311&lt;0.4,"High")</f>
        <v>High</v>
      </c>
    </row>
    <row r="312" spans="1:15" x14ac:dyDescent="0.3">
      <c r="A312">
        <v>10311</v>
      </c>
      <c r="B312" s="1">
        <v>44872</v>
      </c>
      <c r="C312">
        <v>2038</v>
      </c>
      <c r="D312" t="s">
        <v>19</v>
      </c>
      <c r="E312">
        <v>7</v>
      </c>
      <c r="F312">
        <v>131.38</v>
      </c>
      <c r="G312">
        <v>0.16</v>
      </c>
      <c r="H312" t="s">
        <v>17</v>
      </c>
      <c r="I312" t="s">
        <v>11</v>
      </c>
      <c r="J312">
        <f>amazon_store_sales_2022__1[[#This Row],[UnitPrice]]*amazon_store_sales_2022__1[[#This Row],[Quantity]]</f>
        <v>919.66</v>
      </c>
      <c r="K312">
        <f>amazon_store_sales_2022__1[[#This Row],[Total ]]*amazon_store_sales_2022__1[[#This Row],[Discount]]</f>
        <v>147.1456</v>
      </c>
      <c r="L312" s="13">
        <f>amazon_store_sales_2022__1[[#This Row],[Total ]]-amazon_store_sales_2022__1[[#This Row],[Total Discount]]</f>
        <v>772.51440000000002</v>
      </c>
      <c r="M312">
        <f>YEAR(amazon_store_sales_2022__1[[#This Row],[OrderDate]])</f>
        <v>2022</v>
      </c>
      <c r="N312" t="str" cm="1">
        <f t="array" ref="N312">_xlfn.IFS(L312&lt;500," VeryLow",L312&lt;1000,"Low",L312&lt;2000,"Medium",L312&lt;3000,"High",L312&lt;5000,"VeryHigh")</f>
        <v>Low</v>
      </c>
      <c r="O312" t="str" cm="1">
        <f t="array" ref="O312">_xlfn.IFS(G312&lt;0.09,"Low",G312&lt;0.2,"Medium",G312&lt;0.4,"High")</f>
        <v>Medium</v>
      </c>
    </row>
    <row r="313" spans="1:15" x14ac:dyDescent="0.3">
      <c r="A313">
        <v>10312</v>
      </c>
      <c r="B313" s="1">
        <v>44873</v>
      </c>
      <c r="C313">
        <v>2084</v>
      </c>
      <c r="D313" t="s">
        <v>19</v>
      </c>
      <c r="E313">
        <v>8</v>
      </c>
      <c r="F313">
        <v>332.51</v>
      </c>
      <c r="G313">
        <v>0.11</v>
      </c>
      <c r="H313" t="s">
        <v>10</v>
      </c>
      <c r="I313" t="s">
        <v>11</v>
      </c>
      <c r="J313">
        <f>amazon_store_sales_2022__1[[#This Row],[UnitPrice]]*amazon_store_sales_2022__1[[#This Row],[Quantity]]</f>
        <v>2660.08</v>
      </c>
      <c r="K313">
        <f>amazon_store_sales_2022__1[[#This Row],[Total ]]*amazon_store_sales_2022__1[[#This Row],[Discount]]</f>
        <v>292.60879999999997</v>
      </c>
      <c r="L313" s="13">
        <f>amazon_store_sales_2022__1[[#This Row],[Total ]]-amazon_store_sales_2022__1[[#This Row],[Total Discount]]</f>
        <v>2367.4712</v>
      </c>
      <c r="M313">
        <f>YEAR(amazon_store_sales_2022__1[[#This Row],[OrderDate]])</f>
        <v>2022</v>
      </c>
      <c r="N313" t="str" cm="1">
        <f t="array" ref="N313">_xlfn.IFS(L313&lt;500," VeryLow",L313&lt;1000,"Low",L313&lt;2000,"Medium",L313&lt;3000,"High",L313&lt;5000,"VeryHigh")</f>
        <v>High</v>
      </c>
      <c r="O313" t="str" cm="1">
        <f t="array" ref="O313">_xlfn.IFS(G313&lt;0.09,"Low",G313&lt;0.2,"Medium",G313&lt;0.4,"High")</f>
        <v>Medium</v>
      </c>
    </row>
    <row r="314" spans="1:15" x14ac:dyDescent="0.3">
      <c r="A314">
        <v>10313</v>
      </c>
      <c r="B314" s="1">
        <v>44874</v>
      </c>
      <c r="C314">
        <v>2099</v>
      </c>
      <c r="D314" t="s">
        <v>16</v>
      </c>
      <c r="E314">
        <v>6</v>
      </c>
      <c r="F314">
        <v>489.42</v>
      </c>
      <c r="G314">
        <v>0.04</v>
      </c>
      <c r="H314" t="s">
        <v>17</v>
      </c>
      <c r="I314" t="s">
        <v>18</v>
      </c>
      <c r="J314">
        <f>amazon_store_sales_2022__1[[#This Row],[UnitPrice]]*amazon_store_sales_2022__1[[#This Row],[Quantity]]</f>
        <v>2936.52</v>
      </c>
      <c r="K314">
        <f>amazon_store_sales_2022__1[[#This Row],[Total ]]*amazon_store_sales_2022__1[[#This Row],[Discount]]</f>
        <v>117.46080000000001</v>
      </c>
      <c r="L314" s="13">
        <f>amazon_store_sales_2022__1[[#This Row],[Total ]]-amazon_store_sales_2022__1[[#This Row],[Total Discount]]</f>
        <v>2819.0592000000001</v>
      </c>
      <c r="M314">
        <f>YEAR(amazon_store_sales_2022__1[[#This Row],[OrderDate]])</f>
        <v>2022</v>
      </c>
      <c r="N314" t="str" cm="1">
        <f t="array" ref="N314">_xlfn.IFS(L314&lt;500," VeryLow",L314&lt;1000,"Low",L314&lt;2000,"Medium",L314&lt;3000,"High",L314&lt;5000,"VeryHigh")</f>
        <v>High</v>
      </c>
      <c r="O314" t="str" cm="1">
        <f t="array" ref="O314">_xlfn.IFS(G314&lt;0.09,"Low",G314&lt;0.2,"Medium",G314&lt;0.4,"High")</f>
        <v>Low</v>
      </c>
    </row>
    <row r="315" spans="1:15" x14ac:dyDescent="0.3">
      <c r="A315">
        <v>10314</v>
      </c>
      <c r="B315" s="1">
        <v>44875</v>
      </c>
      <c r="C315">
        <v>2089</v>
      </c>
      <c r="D315" t="s">
        <v>16</v>
      </c>
      <c r="E315">
        <v>6</v>
      </c>
      <c r="F315">
        <v>190.28</v>
      </c>
      <c r="G315">
        <v>0.22</v>
      </c>
      <c r="H315" t="s">
        <v>15</v>
      </c>
      <c r="I315" t="s">
        <v>11</v>
      </c>
      <c r="J315">
        <f>amazon_store_sales_2022__1[[#This Row],[UnitPrice]]*amazon_store_sales_2022__1[[#This Row],[Quantity]]</f>
        <v>1141.68</v>
      </c>
      <c r="K315">
        <f>amazon_store_sales_2022__1[[#This Row],[Total ]]*amazon_store_sales_2022__1[[#This Row],[Discount]]</f>
        <v>251.1696</v>
      </c>
      <c r="L315" s="13">
        <f>amazon_store_sales_2022__1[[#This Row],[Total ]]-amazon_store_sales_2022__1[[#This Row],[Total Discount]]</f>
        <v>890.51040000000012</v>
      </c>
      <c r="M315">
        <f>YEAR(amazon_store_sales_2022__1[[#This Row],[OrderDate]])</f>
        <v>2022</v>
      </c>
      <c r="N315" t="str" cm="1">
        <f t="array" ref="N315">_xlfn.IFS(L315&lt;500," VeryLow",L315&lt;1000,"Low",L315&lt;2000,"Medium",L315&lt;3000,"High",L315&lt;5000,"VeryHigh")</f>
        <v>Low</v>
      </c>
      <c r="O315" t="str" cm="1">
        <f t="array" ref="O315">_xlfn.IFS(G315&lt;0.09,"Low",G315&lt;0.2,"Medium",G315&lt;0.4,"High")</f>
        <v>High</v>
      </c>
    </row>
    <row r="316" spans="1:15" x14ac:dyDescent="0.3">
      <c r="A316">
        <v>10315</v>
      </c>
      <c r="B316" s="1">
        <v>44876</v>
      </c>
      <c r="C316">
        <v>2099</v>
      </c>
      <c r="D316" t="s">
        <v>12</v>
      </c>
      <c r="E316">
        <v>5</v>
      </c>
      <c r="F316">
        <v>13.67</v>
      </c>
      <c r="G316">
        <v>7.0000000000000007E-2</v>
      </c>
      <c r="H316" t="s">
        <v>20</v>
      </c>
      <c r="I316" t="s">
        <v>18</v>
      </c>
      <c r="J316">
        <f>amazon_store_sales_2022__1[[#This Row],[UnitPrice]]*amazon_store_sales_2022__1[[#This Row],[Quantity]]</f>
        <v>68.349999999999994</v>
      </c>
      <c r="K316">
        <f>amazon_store_sales_2022__1[[#This Row],[Total ]]*amazon_store_sales_2022__1[[#This Row],[Discount]]</f>
        <v>4.7845000000000004</v>
      </c>
      <c r="L316" s="13">
        <f>amazon_store_sales_2022__1[[#This Row],[Total ]]-amazon_store_sales_2022__1[[#This Row],[Total Discount]]</f>
        <v>63.565499999999993</v>
      </c>
      <c r="M316">
        <f>YEAR(amazon_store_sales_2022__1[[#This Row],[OrderDate]])</f>
        <v>2022</v>
      </c>
      <c r="N316" t="str" cm="1">
        <f t="array" ref="N316">_xlfn.IFS(L316&lt;500," VeryLow",L316&lt;1000,"Low",L316&lt;2000,"Medium",L316&lt;3000,"High",L316&lt;5000,"VeryHigh")</f>
        <v xml:space="preserve"> VeryLow</v>
      </c>
      <c r="O316" t="str" cm="1">
        <f t="array" ref="O316">_xlfn.IFS(G316&lt;0.09,"Low",G316&lt;0.2,"Medium",G316&lt;0.4,"High")</f>
        <v>Low</v>
      </c>
    </row>
    <row r="317" spans="1:15" x14ac:dyDescent="0.3">
      <c r="A317">
        <v>10316</v>
      </c>
      <c r="B317" s="1">
        <v>44877</v>
      </c>
      <c r="C317">
        <v>2025</v>
      </c>
      <c r="D317" t="s">
        <v>14</v>
      </c>
      <c r="E317">
        <v>8</v>
      </c>
      <c r="F317">
        <v>125.85</v>
      </c>
      <c r="G317">
        <v>0.11</v>
      </c>
      <c r="H317" t="s">
        <v>17</v>
      </c>
      <c r="I317" t="s">
        <v>18</v>
      </c>
      <c r="J317">
        <f>amazon_store_sales_2022__1[[#This Row],[UnitPrice]]*amazon_store_sales_2022__1[[#This Row],[Quantity]]</f>
        <v>1006.8</v>
      </c>
      <c r="K317">
        <f>amazon_store_sales_2022__1[[#This Row],[Total ]]*amazon_store_sales_2022__1[[#This Row],[Discount]]</f>
        <v>110.74799999999999</v>
      </c>
      <c r="L317" s="13">
        <f>amazon_store_sales_2022__1[[#This Row],[Total ]]-amazon_store_sales_2022__1[[#This Row],[Total Discount]]</f>
        <v>896.05199999999991</v>
      </c>
      <c r="M317">
        <f>YEAR(amazon_store_sales_2022__1[[#This Row],[OrderDate]])</f>
        <v>2022</v>
      </c>
      <c r="N317" t="str" cm="1">
        <f t="array" ref="N317">_xlfn.IFS(L317&lt;500," VeryLow",L317&lt;1000,"Low",L317&lt;2000,"Medium",L317&lt;3000,"High",L317&lt;5000,"VeryHigh")</f>
        <v>Low</v>
      </c>
      <c r="O317" t="str" cm="1">
        <f t="array" ref="O317">_xlfn.IFS(G317&lt;0.09,"Low",G317&lt;0.2,"Medium",G317&lt;0.4,"High")</f>
        <v>Medium</v>
      </c>
    </row>
    <row r="318" spans="1:15" x14ac:dyDescent="0.3">
      <c r="A318">
        <v>10317</v>
      </c>
      <c r="B318" s="1">
        <v>44878</v>
      </c>
      <c r="C318">
        <v>2093</v>
      </c>
      <c r="D318" t="s">
        <v>14</v>
      </c>
      <c r="E318">
        <v>1</v>
      </c>
      <c r="F318">
        <v>416.28</v>
      </c>
      <c r="G318">
        <v>0.02</v>
      </c>
      <c r="H318" t="s">
        <v>17</v>
      </c>
      <c r="I318" t="s">
        <v>18</v>
      </c>
      <c r="J318">
        <f>amazon_store_sales_2022__1[[#This Row],[UnitPrice]]*amazon_store_sales_2022__1[[#This Row],[Quantity]]</f>
        <v>416.28</v>
      </c>
      <c r="K318">
        <f>amazon_store_sales_2022__1[[#This Row],[Total ]]*amazon_store_sales_2022__1[[#This Row],[Discount]]</f>
        <v>8.3255999999999997</v>
      </c>
      <c r="L318" s="13">
        <f>amazon_store_sales_2022__1[[#This Row],[Total ]]-amazon_store_sales_2022__1[[#This Row],[Total Discount]]</f>
        <v>407.95439999999996</v>
      </c>
      <c r="M318">
        <f>YEAR(amazon_store_sales_2022__1[[#This Row],[OrderDate]])</f>
        <v>2022</v>
      </c>
      <c r="N318" t="str" cm="1">
        <f t="array" ref="N318">_xlfn.IFS(L318&lt;500," VeryLow",L318&lt;1000,"Low",L318&lt;2000,"Medium",L318&lt;3000,"High",L318&lt;5000,"VeryHigh")</f>
        <v xml:space="preserve"> VeryLow</v>
      </c>
      <c r="O318" t="str" cm="1">
        <f t="array" ref="O318">_xlfn.IFS(G318&lt;0.09,"Low",G318&lt;0.2,"Medium",G318&lt;0.4,"High")</f>
        <v>Low</v>
      </c>
    </row>
    <row r="319" spans="1:15" x14ac:dyDescent="0.3">
      <c r="A319">
        <v>10318</v>
      </c>
      <c r="B319" s="1">
        <v>44879</v>
      </c>
      <c r="C319">
        <v>2018</v>
      </c>
      <c r="D319" t="s">
        <v>9</v>
      </c>
      <c r="E319">
        <v>4</v>
      </c>
      <c r="F319">
        <v>432.98</v>
      </c>
      <c r="G319">
        <v>0.24</v>
      </c>
      <c r="H319" t="s">
        <v>10</v>
      </c>
      <c r="I319" t="s">
        <v>18</v>
      </c>
      <c r="J319">
        <f>amazon_store_sales_2022__1[[#This Row],[UnitPrice]]*amazon_store_sales_2022__1[[#This Row],[Quantity]]</f>
        <v>1731.92</v>
      </c>
      <c r="K319">
        <f>amazon_store_sales_2022__1[[#This Row],[Total ]]*amazon_store_sales_2022__1[[#This Row],[Discount]]</f>
        <v>415.66079999999999</v>
      </c>
      <c r="L319" s="13">
        <f>amazon_store_sales_2022__1[[#This Row],[Total ]]-amazon_store_sales_2022__1[[#This Row],[Total Discount]]</f>
        <v>1316.2592</v>
      </c>
      <c r="M319">
        <f>YEAR(amazon_store_sales_2022__1[[#This Row],[OrderDate]])</f>
        <v>2022</v>
      </c>
      <c r="N319" t="str" cm="1">
        <f t="array" ref="N319">_xlfn.IFS(L319&lt;500," VeryLow",L319&lt;1000,"Low",L319&lt;2000,"Medium",L319&lt;3000,"High",L319&lt;5000,"VeryHigh")</f>
        <v>Medium</v>
      </c>
      <c r="O319" t="str" cm="1">
        <f t="array" ref="O319">_xlfn.IFS(G319&lt;0.09,"Low",G319&lt;0.2,"Medium",G319&lt;0.4,"High")</f>
        <v>High</v>
      </c>
    </row>
    <row r="320" spans="1:15" x14ac:dyDescent="0.3">
      <c r="A320">
        <v>10319</v>
      </c>
      <c r="B320" s="1">
        <v>44880</v>
      </c>
      <c r="C320">
        <v>2082</v>
      </c>
      <c r="D320" t="s">
        <v>12</v>
      </c>
      <c r="E320">
        <v>4</v>
      </c>
      <c r="F320">
        <v>385.42</v>
      </c>
      <c r="G320">
        <v>0.23</v>
      </c>
      <c r="H320" t="s">
        <v>15</v>
      </c>
      <c r="I320" t="s">
        <v>11</v>
      </c>
      <c r="J320">
        <f>amazon_store_sales_2022__1[[#This Row],[UnitPrice]]*amazon_store_sales_2022__1[[#This Row],[Quantity]]</f>
        <v>1541.68</v>
      </c>
      <c r="K320">
        <f>amazon_store_sales_2022__1[[#This Row],[Total ]]*amazon_store_sales_2022__1[[#This Row],[Discount]]</f>
        <v>354.58640000000003</v>
      </c>
      <c r="L320" s="13">
        <f>amazon_store_sales_2022__1[[#This Row],[Total ]]-amazon_store_sales_2022__1[[#This Row],[Total Discount]]</f>
        <v>1187.0936000000002</v>
      </c>
      <c r="M320">
        <f>YEAR(amazon_store_sales_2022__1[[#This Row],[OrderDate]])</f>
        <v>2022</v>
      </c>
      <c r="N320" t="str" cm="1">
        <f t="array" ref="N320">_xlfn.IFS(L320&lt;500," VeryLow",L320&lt;1000,"Low",L320&lt;2000,"Medium",L320&lt;3000,"High",L320&lt;5000,"VeryHigh")</f>
        <v>Medium</v>
      </c>
      <c r="O320" t="str" cm="1">
        <f t="array" ref="O320">_xlfn.IFS(G320&lt;0.09,"Low",G320&lt;0.2,"Medium",G320&lt;0.4,"High")</f>
        <v>High</v>
      </c>
    </row>
    <row r="321" spans="1:15" x14ac:dyDescent="0.3">
      <c r="A321">
        <v>10320</v>
      </c>
      <c r="B321" s="1">
        <v>44881</v>
      </c>
      <c r="C321">
        <v>2066</v>
      </c>
      <c r="D321" t="s">
        <v>12</v>
      </c>
      <c r="E321">
        <v>3</v>
      </c>
      <c r="F321">
        <v>60.99</v>
      </c>
      <c r="G321">
        <v>0.22</v>
      </c>
      <c r="H321" t="s">
        <v>20</v>
      </c>
      <c r="I321" t="s">
        <v>18</v>
      </c>
      <c r="J321">
        <f>amazon_store_sales_2022__1[[#This Row],[UnitPrice]]*amazon_store_sales_2022__1[[#This Row],[Quantity]]</f>
        <v>182.97</v>
      </c>
      <c r="K321">
        <f>amazon_store_sales_2022__1[[#This Row],[Total ]]*amazon_store_sales_2022__1[[#This Row],[Discount]]</f>
        <v>40.253399999999999</v>
      </c>
      <c r="L321" s="13">
        <f>amazon_store_sales_2022__1[[#This Row],[Total ]]-amazon_store_sales_2022__1[[#This Row],[Total Discount]]</f>
        <v>142.7166</v>
      </c>
      <c r="M321">
        <f>YEAR(amazon_store_sales_2022__1[[#This Row],[OrderDate]])</f>
        <v>2022</v>
      </c>
      <c r="N321" t="str" cm="1">
        <f t="array" ref="N321">_xlfn.IFS(L321&lt;500," VeryLow",L321&lt;1000,"Low",L321&lt;2000,"Medium",L321&lt;3000,"High",L321&lt;5000,"VeryHigh")</f>
        <v xml:space="preserve"> VeryLow</v>
      </c>
      <c r="O321" t="str" cm="1">
        <f t="array" ref="O321">_xlfn.IFS(G321&lt;0.09,"Low",G321&lt;0.2,"Medium",G321&lt;0.4,"High")</f>
        <v>High</v>
      </c>
    </row>
    <row r="322" spans="1:15" x14ac:dyDescent="0.3">
      <c r="A322">
        <v>10321</v>
      </c>
      <c r="B322" s="1">
        <v>44882</v>
      </c>
      <c r="C322">
        <v>2054</v>
      </c>
      <c r="D322" t="s">
        <v>12</v>
      </c>
      <c r="E322">
        <v>3</v>
      </c>
      <c r="F322">
        <v>398.78</v>
      </c>
      <c r="G322">
        <v>0.09</v>
      </c>
      <c r="H322" t="s">
        <v>10</v>
      </c>
      <c r="I322" t="s">
        <v>18</v>
      </c>
      <c r="J322">
        <f>amazon_store_sales_2022__1[[#This Row],[UnitPrice]]*amazon_store_sales_2022__1[[#This Row],[Quantity]]</f>
        <v>1196.3399999999999</v>
      </c>
      <c r="K322">
        <f>amazon_store_sales_2022__1[[#This Row],[Total ]]*amazon_store_sales_2022__1[[#This Row],[Discount]]</f>
        <v>107.67059999999999</v>
      </c>
      <c r="L322" s="13">
        <f>amazon_store_sales_2022__1[[#This Row],[Total ]]-amazon_store_sales_2022__1[[#This Row],[Total Discount]]</f>
        <v>1088.6694</v>
      </c>
      <c r="M322">
        <f>YEAR(amazon_store_sales_2022__1[[#This Row],[OrderDate]])</f>
        <v>2022</v>
      </c>
      <c r="N322" t="str" cm="1">
        <f t="array" ref="N322">_xlfn.IFS(L322&lt;500," VeryLow",L322&lt;1000,"Low",L322&lt;2000,"Medium",L322&lt;3000,"High",L322&lt;5000,"VeryHigh")</f>
        <v>Medium</v>
      </c>
      <c r="O322" t="str" cm="1">
        <f t="array" ref="O322">_xlfn.IFS(G322&lt;0.09,"Low",G322&lt;0.2,"Medium",G322&lt;0.4,"High")</f>
        <v>Medium</v>
      </c>
    </row>
    <row r="323" spans="1:15" x14ac:dyDescent="0.3">
      <c r="A323">
        <v>10322</v>
      </c>
      <c r="B323" s="1">
        <v>44883</v>
      </c>
      <c r="C323">
        <v>2035</v>
      </c>
      <c r="D323" t="s">
        <v>12</v>
      </c>
      <c r="E323">
        <v>4</v>
      </c>
      <c r="F323">
        <v>459.75</v>
      </c>
      <c r="G323">
        <v>0.05</v>
      </c>
      <c r="H323" t="s">
        <v>10</v>
      </c>
      <c r="I323" t="s">
        <v>11</v>
      </c>
      <c r="J323">
        <f>amazon_store_sales_2022__1[[#This Row],[UnitPrice]]*amazon_store_sales_2022__1[[#This Row],[Quantity]]</f>
        <v>1839</v>
      </c>
      <c r="K323">
        <f>amazon_store_sales_2022__1[[#This Row],[Total ]]*amazon_store_sales_2022__1[[#This Row],[Discount]]</f>
        <v>91.95</v>
      </c>
      <c r="L323" s="13">
        <f>amazon_store_sales_2022__1[[#This Row],[Total ]]-amazon_store_sales_2022__1[[#This Row],[Total Discount]]</f>
        <v>1747.05</v>
      </c>
      <c r="M323">
        <f>YEAR(amazon_store_sales_2022__1[[#This Row],[OrderDate]])</f>
        <v>2022</v>
      </c>
      <c r="N323" t="str" cm="1">
        <f t="array" ref="N323">_xlfn.IFS(L323&lt;500," VeryLow",L323&lt;1000,"Low",L323&lt;2000,"Medium",L323&lt;3000,"High",L323&lt;5000,"VeryHigh")</f>
        <v>Medium</v>
      </c>
      <c r="O323" t="str" cm="1">
        <f t="array" ref="O323">_xlfn.IFS(G323&lt;0.09,"Low",G323&lt;0.2,"Medium",G323&lt;0.4,"High")</f>
        <v>Low</v>
      </c>
    </row>
    <row r="324" spans="1:15" x14ac:dyDescent="0.3">
      <c r="A324">
        <v>10323</v>
      </c>
      <c r="B324" s="1">
        <v>44884</v>
      </c>
      <c r="C324">
        <v>2080</v>
      </c>
      <c r="D324" t="s">
        <v>14</v>
      </c>
      <c r="E324">
        <v>1</v>
      </c>
      <c r="F324">
        <v>302.3</v>
      </c>
      <c r="G324">
        <v>0.19</v>
      </c>
      <c r="H324" t="s">
        <v>15</v>
      </c>
      <c r="I324" t="s">
        <v>18</v>
      </c>
      <c r="J324">
        <f>amazon_store_sales_2022__1[[#This Row],[UnitPrice]]*amazon_store_sales_2022__1[[#This Row],[Quantity]]</f>
        <v>302.3</v>
      </c>
      <c r="K324">
        <f>amazon_store_sales_2022__1[[#This Row],[Total ]]*amazon_store_sales_2022__1[[#This Row],[Discount]]</f>
        <v>57.437000000000005</v>
      </c>
      <c r="L324" s="13">
        <f>amazon_store_sales_2022__1[[#This Row],[Total ]]-amazon_store_sales_2022__1[[#This Row],[Total Discount]]</f>
        <v>244.863</v>
      </c>
      <c r="M324">
        <f>YEAR(amazon_store_sales_2022__1[[#This Row],[OrderDate]])</f>
        <v>2022</v>
      </c>
      <c r="N324" t="str" cm="1">
        <f t="array" ref="N324">_xlfn.IFS(L324&lt;500," VeryLow",L324&lt;1000,"Low",L324&lt;2000,"Medium",L324&lt;3000,"High",L324&lt;5000,"VeryHigh")</f>
        <v xml:space="preserve"> VeryLow</v>
      </c>
      <c r="O324" t="str" cm="1">
        <f t="array" ref="O324">_xlfn.IFS(G324&lt;0.09,"Low",G324&lt;0.2,"Medium",G324&lt;0.4,"High")</f>
        <v>Medium</v>
      </c>
    </row>
    <row r="325" spans="1:15" x14ac:dyDescent="0.3">
      <c r="A325">
        <v>10324</v>
      </c>
      <c r="B325" s="1">
        <v>44885</v>
      </c>
      <c r="C325">
        <v>2061</v>
      </c>
      <c r="D325" t="s">
        <v>14</v>
      </c>
      <c r="E325">
        <v>2</v>
      </c>
      <c r="F325">
        <v>470.73</v>
      </c>
      <c r="G325">
        <v>0.15</v>
      </c>
      <c r="H325" t="s">
        <v>20</v>
      </c>
      <c r="I325" t="s">
        <v>18</v>
      </c>
      <c r="J325">
        <f>amazon_store_sales_2022__1[[#This Row],[UnitPrice]]*amazon_store_sales_2022__1[[#This Row],[Quantity]]</f>
        <v>941.46</v>
      </c>
      <c r="K325">
        <f>amazon_store_sales_2022__1[[#This Row],[Total ]]*amazon_store_sales_2022__1[[#This Row],[Discount]]</f>
        <v>141.21899999999999</v>
      </c>
      <c r="L325" s="13">
        <f>amazon_store_sales_2022__1[[#This Row],[Total ]]-amazon_store_sales_2022__1[[#This Row],[Total Discount]]</f>
        <v>800.24099999999999</v>
      </c>
      <c r="M325">
        <f>YEAR(amazon_store_sales_2022__1[[#This Row],[OrderDate]])</f>
        <v>2022</v>
      </c>
      <c r="N325" t="str" cm="1">
        <f t="array" ref="N325">_xlfn.IFS(L325&lt;500," VeryLow",L325&lt;1000,"Low",L325&lt;2000,"Medium",L325&lt;3000,"High",L325&lt;5000,"VeryHigh")</f>
        <v>Low</v>
      </c>
      <c r="O325" t="str" cm="1">
        <f t="array" ref="O325">_xlfn.IFS(G325&lt;0.09,"Low",G325&lt;0.2,"Medium",G325&lt;0.4,"High")</f>
        <v>Medium</v>
      </c>
    </row>
    <row r="326" spans="1:15" x14ac:dyDescent="0.3">
      <c r="A326">
        <v>10325</v>
      </c>
      <c r="B326" s="1">
        <v>44886</v>
      </c>
      <c r="C326">
        <v>2041</v>
      </c>
      <c r="D326" t="s">
        <v>12</v>
      </c>
      <c r="E326">
        <v>9</v>
      </c>
      <c r="F326">
        <v>414.29</v>
      </c>
      <c r="G326">
        <v>0.05</v>
      </c>
      <c r="H326" t="s">
        <v>15</v>
      </c>
      <c r="I326" t="s">
        <v>11</v>
      </c>
      <c r="J326">
        <f>amazon_store_sales_2022__1[[#This Row],[UnitPrice]]*amazon_store_sales_2022__1[[#This Row],[Quantity]]</f>
        <v>3728.61</v>
      </c>
      <c r="K326">
        <f>amazon_store_sales_2022__1[[#This Row],[Total ]]*amazon_store_sales_2022__1[[#This Row],[Discount]]</f>
        <v>186.43050000000002</v>
      </c>
      <c r="L326" s="13">
        <f>amazon_store_sales_2022__1[[#This Row],[Total ]]-amazon_store_sales_2022__1[[#This Row],[Total Discount]]</f>
        <v>3542.1795000000002</v>
      </c>
      <c r="M326">
        <f>YEAR(amazon_store_sales_2022__1[[#This Row],[OrderDate]])</f>
        <v>2022</v>
      </c>
      <c r="N326" t="str" cm="1">
        <f t="array" ref="N326">_xlfn.IFS(L326&lt;500," VeryLow",L326&lt;1000,"Low",L326&lt;2000,"Medium",L326&lt;3000,"High",L326&lt;5000,"VeryHigh")</f>
        <v>VeryHigh</v>
      </c>
      <c r="O326" t="str" cm="1">
        <f t="array" ref="O326">_xlfn.IFS(G326&lt;0.09,"Low",G326&lt;0.2,"Medium",G326&lt;0.4,"High")</f>
        <v>Low</v>
      </c>
    </row>
    <row r="327" spans="1:15" x14ac:dyDescent="0.3">
      <c r="A327">
        <v>10326</v>
      </c>
      <c r="B327" s="1">
        <v>44887</v>
      </c>
      <c r="C327">
        <v>2100</v>
      </c>
      <c r="D327" t="s">
        <v>9</v>
      </c>
      <c r="E327">
        <v>2</v>
      </c>
      <c r="F327">
        <v>335.15</v>
      </c>
      <c r="G327">
        <v>0.21</v>
      </c>
      <c r="H327" t="s">
        <v>20</v>
      </c>
      <c r="I327" t="s">
        <v>11</v>
      </c>
      <c r="J327">
        <f>amazon_store_sales_2022__1[[#This Row],[UnitPrice]]*amazon_store_sales_2022__1[[#This Row],[Quantity]]</f>
        <v>670.3</v>
      </c>
      <c r="K327">
        <f>amazon_store_sales_2022__1[[#This Row],[Total ]]*amazon_store_sales_2022__1[[#This Row],[Discount]]</f>
        <v>140.76299999999998</v>
      </c>
      <c r="L327" s="13">
        <f>amazon_store_sales_2022__1[[#This Row],[Total ]]-amazon_store_sales_2022__1[[#This Row],[Total Discount]]</f>
        <v>529.53700000000003</v>
      </c>
      <c r="M327">
        <f>YEAR(amazon_store_sales_2022__1[[#This Row],[OrderDate]])</f>
        <v>2022</v>
      </c>
      <c r="N327" t="str" cm="1">
        <f t="array" ref="N327">_xlfn.IFS(L327&lt;500," VeryLow",L327&lt;1000,"Low",L327&lt;2000,"Medium",L327&lt;3000,"High",L327&lt;5000,"VeryHigh")</f>
        <v>Low</v>
      </c>
      <c r="O327" t="str" cm="1">
        <f t="array" ref="O327">_xlfn.IFS(G327&lt;0.09,"Low",G327&lt;0.2,"Medium",G327&lt;0.4,"High")</f>
        <v>High</v>
      </c>
    </row>
    <row r="328" spans="1:15" x14ac:dyDescent="0.3">
      <c r="A328">
        <v>10327</v>
      </c>
      <c r="B328" s="1">
        <v>44888</v>
      </c>
      <c r="C328">
        <v>2033</v>
      </c>
      <c r="D328" t="s">
        <v>19</v>
      </c>
      <c r="E328">
        <v>5</v>
      </c>
      <c r="F328">
        <v>290.70999999999998</v>
      </c>
      <c r="G328">
        <v>0.3</v>
      </c>
      <c r="H328" t="s">
        <v>15</v>
      </c>
      <c r="I328" t="s">
        <v>11</v>
      </c>
      <c r="J328">
        <f>amazon_store_sales_2022__1[[#This Row],[UnitPrice]]*amazon_store_sales_2022__1[[#This Row],[Quantity]]</f>
        <v>1453.55</v>
      </c>
      <c r="K328">
        <f>amazon_store_sales_2022__1[[#This Row],[Total ]]*amazon_store_sales_2022__1[[#This Row],[Discount]]</f>
        <v>436.065</v>
      </c>
      <c r="L328" s="13">
        <f>amazon_store_sales_2022__1[[#This Row],[Total ]]-amazon_store_sales_2022__1[[#This Row],[Total Discount]]</f>
        <v>1017.4849999999999</v>
      </c>
      <c r="M328">
        <f>YEAR(amazon_store_sales_2022__1[[#This Row],[OrderDate]])</f>
        <v>2022</v>
      </c>
      <c r="N328" t="str" cm="1">
        <f t="array" ref="N328">_xlfn.IFS(L328&lt;500," VeryLow",L328&lt;1000,"Low",L328&lt;2000,"Medium",L328&lt;3000,"High",L328&lt;5000,"VeryHigh")</f>
        <v>Medium</v>
      </c>
      <c r="O328" t="str" cm="1">
        <f t="array" ref="O328">_xlfn.IFS(G328&lt;0.09,"Low",G328&lt;0.2,"Medium",G328&lt;0.4,"High")</f>
        <v>High</v>
      </c>
    </row>
    <row r="329" spans="1:15" x14ac:dyDescent="0.3">
      <c r="A329">
        <v>10328</v>
      </c>
      <c r="B329" s="1">
        <v>44889</v>
      </c>
      <c r="C329">
        <v>2068</v>
      </c>
      <c r="D329" t="s">
        <v>19</v>
      </c>
      <c r="E329">
        <v>9</v>
      </c>
      <c r="F329">
        <v>177.54</v>
      </c>
      <c r="G329">
        <v>0.22</v>
      </c>
      <c r="H329" t="s">
        <v>10</v>
      </c>
      <c r="I329" t="s">
        <v>18</v>
      </c>
      <c r="J329">
        <f>amazon_store_sales_2022__1[[#This Row],[UnitPrice]]*amazon_store_sales_2022__1[[#This Row],[Quantity]]</f>
        <v>1597.86</v>
      </c>
      <c r="K329">
        <f>amazon_store_sales_2022__1[[#This Row],[Total ]]*amazon_store_sales_2022__1[[#This Row],[Discount]]</f>
        <v>351.5292</v>
      </c>
      <c r="L329" s="13">
        <f>amazon_store_sales_2022__1[[#This Row],[Total ]]-amazon_store_sales_2022__1[[#This Row],[Total Discount]]</f>
        <v>1246.3308</v>
      </c>
      <c r="M329">
        <f>YEAR(amazon_store_sales_2022__1[[#This Row],[OrderDate]])</f>
        <v>2022</v>
      </c>
      <c r="N329" t="str" cm="1">
        <f t="array" ref="N329">_xlfn.IFS(L329&lt;500," VeryLow",L329&lt;1000,"Low",L329&lt;2000,"Medium",L329&lt;3000,"High",L329&lt;5000,"VeryHigh")</f>
        <v>Medium</v>
      </c>
      <c r="O329" t="str" cm="1">
        <f t="array" ref="O329">_xlfn.IFS(G329&lt;0.09,"Low",G329&lt;0.2,"Medium",G329&lt;0.4,"High")</f>
        <v>High</v>
      </c>
    </row>
    <row r="330" spans="1:15" x14ac:dyDescent="0.3">
      <c r="A330">
        <v>10329</v>
      </c>
      <c r="B330" s="1">
        <v>44890</v>
      </c>
      <c r="C330">
        <v>2033</v>
      </c>
      <c r="D330" t="s">
        <v>9</v>
      </c>
      <c r="E330">
        <v>9</v>
      </c>
      <c r="F330">
        <v>83.85</v>
      </c>
      <c r="G330">
        <v>0.22</v>
      </c>
      <c r="H330" t="s">
        <v>10</v>
      </c>
      <c r="I330" t="s">
        <v>11</v>
      </c>
      <c r="J330">
        <f>amazon_store_sales_2022__1[[#This Row],[UnitPrice]]*amazon_store_sales_2022__1[[#This Row],[Quantity]]</f>
        <v>754.65</v>
      </c>
      <c r="K330">
        <f>amazon_store_sales_2022__1[[#This Row],[Total ]]*amazon_store_sales_2022__1[[#This Row],[Discount]]</f>
        <v>166.023</v>
      </c>
      <c r="L330" s="13">
        <f>amazon_store_sales_2022__1[[#This Row],[Total ]]-amazon_store_sales_2022__1[[#This Row],[Total Discount]]</f>
        <v>588.62699999999995</v>
      </c>
      <c r="M330">
        <f>YEAR(amazon_store_sales_2022__1[[#This Row],[OrderDate]])</f>
        <v>2022</v>
      </c>
      <c r="N330" t="str" cm="1">
        <f t="array" ref="N330">_xlfn.IFS(L330&lt;500," VeryLow",L330&lt;1000,"Low",L330&lt;2000,"Medium",L330&lt;3000,"High",L330&lt;5000,"VeryHigh")</f>
        <v>Low</v>
      </c>
      <c r="O330" t="str" cm="1">
        <f t="array" ref="O330">_xlfn.IFS(G330&lt;0.09,"Low",G330&lt;0.2,"Medium",G330&lt;0.4,"High")</f>
        <v>High</v>
      </c>
    </row>
    <row r="331" spans="1:15" x14ac:dyDescent="0.3">
      <c r="A331">
        <v>10330</v>
      </c>
      <c r="B331" s="1">
        <v>44891</v>
      </c>
      <c r="C331">
        <v>2014</v>
      </c>
      <c r="D331" t="s">
        <v>12</v>
      </c>
      <c r="E331">
        <v>8</v>
      </c>
      <c r="F331">
        <v>304.45</v>
      </c>
      <c r="G331">
        <v>0.28999999999999998</v>
      </c>
      <c r="H331" t="s">
        <v>13</v>
      </c>
      <c r="I331" t="s">
        <v>11</v>
      </c>
      <c r="J331">
        <f>amazon_store_sales_2022__1[[#This Row],[UnitPrice]]*amazon_store_sales_2022__1[[#This Row],[Quantity]]</f>
        <v>2435.6</v>
      </c>
      <c r="K331">
        <f>amazon_store_sales_2022__1[[#This Row],[Total ]]*amazon_store_sales_2022__1[[#This Row],[Discount]]</f>
        <v>706.32399999999996</v>
      </c>
      <c r="L331" s="13">
        <f>amazon_store_sales_2022__1[[#This Row],[Total ]]-amazon_store_sales_2022__1[[#This Row],[Total Discount]]</f>
        <v>1729.2759999999998</v>
      </c>
      <c r="M331">
        <f>YEAR(amazon_store_sales_2022__1[[#This Row],[OrderDate]])</f>
        <v>2022</v>
      </c>
      <c r="N331" t="str" cm="1">
        <f t="array" ref="N331">_xlfn.IFS(L331&lt;500," VeryLow",L331&lt;1000,"Low",L331&lt;2000,"Medium",L331&lt;3000,"High",L331&lt;5000,"VeryHigh")</f>
        <v>Medium</v>
      </c>
      <c r="O331" t="str" cm="1">
        <f t="array" ref="O331">_xlfn.IFS(G331&lt;0.09,"Low",G331&lt;0.2,"Medium",G331&lt;0.4,"High")</f>
        <v>High</v>
      </c>
    </row>
    <row r="332" spans="1:15" x14ac:dyDescent="0.3">
      <c r="A332">
        <v>10331</v>
      </c>
      <c r="B332" s="1">
        <v>44892</v>
      </c>
      <c r="C332">
        <v>2021</v>
      </c>
      <c r="D332" t="s">
        <v>14</v>
      </c>
      <c r="E332">
        <v>1</v>
      </c>
      <c r="F332">
        <v>162.47</v>
      </c>
      <c r="G332">
        <v>0.06</v>
      </c>
      <c r="H332" t="s">
        <v>17</v>
      </c>
      <c r="I332" t="s">
        <v>18</v>
      </c>
      <c r="J332">
        <f>amazon_store_sales_2022__1[[#This Row],[UnitPrice]]*amazon_store_sales_2022__1[[#This Row],[Quantity]]</f>
        <v>162.47</v>
      </c>
      <c r="K332">
        <f>amazon_store_sales_2022__1[[#This Row],[Total ]]*amazon_store_sales_2022__1[[#This Row],[Discount]]</f>
        <v>9.7481999999999989</v>
      </c>
      <c r="L332" s="13">
        <f>amazon_store_sales_2022__1[[#This Row],[Total ]]-amazon_store_sales_2022__1[[#This Row],[Total Discount]]</f>
        <v>152.7218</v>
      </c>
      <c r="M332">
        <f>YEAR(amazon_store_sales_2022__1[[#This Row],[OrderDate]])</f>
        <v>2022</v>
      </c>
      <c r="N332" t="str" cm="1">
        <f t="array" ref="N332">_xlfn.IFS(L332&lt;500," VeryLow",L332&lt;1000,"Low",L332&lt;2000,"Medium",L332&lt;3000,"High",L332&lt;5000,"VeryHigh")</f>
        <v xml:space="preserve"> VeryLow</v>
      </c>
      <c r="O332" t="str" cm="1">
        <f t="array" ref="O332">_xlfn.IFS(G332&lt;0.09,"Low",G332&lt;0.2,"Medium",G332&lt;0.4,"High")</f>
        <v>Low</v>
      </c>
    </row>
    <row r="333" spans="1:15" x14ac:dyDescent="0.3">
      <c r="A333">
        <v>10332</v>
      </c>
      <c r="B333" s="1">
        <v>44893</v>
      </c>
      <c r="C333">
        <v>2048</v>
      </c>
      <c r="D333" t="s">
        <v>19</v>
      </c>
      <c r="E333">
        <v>1</v>
      </c>
      <c r="F333">
        <v>433.89</v>
      </c>
      <c r="G333">
        <v>0.17</v>
      </c>
      <c r="H333" t="s">
        <v>15</v>
      </c>
      <c r="I333" t="s">
        <v>18</v>
      </c>
      <c r="J333">
        <f>amazon_store_sales_2022__1[[#This Row],[UnitPrice]]*amazon_store_sales_2022__1[[#This Row],[Quantity]]</f>
        <v>433.89</v>
      </c>
      <c r="K333">
        <f>amazon_store_sales_2022__1[[#This Row],[Total ]]*amazon_store_sales_2022__1[[#This Row],[Discount]]</f>
        <v>73.761300000000006</v>
      </c>
      <c r="L333" s="13">
        <f>amazon_store_sales_2022__1[[#This Row],[Total ]]-amazon_store_sales_2022__1[[#This Row],[Total Discount]]</f>
        <v>360.12869999999998</v>
      </c>
      <c r="M333">
        <f>YEAR(amazon_store_sales_2022__1[[#This Row],[OrderDate]])</f>
        <v>2022</v>
      </c>
      <c r="N333" t="str" cm="1">
        <f t="array" ref="N333">_xlfn.IFS(L333&lt;500," VeryLow",L333&lt;1000,"Low",L333&lt;2000,"Medium",L333&lt;3000,"High",L333&lt;5000,"VeryHigh")</f>
        <v xml:space="preserve"> VeryLow</v>
      </c>
      <c r="O333" t="str" cm="1">
        <f t="array" ref="O333">_xlfn.IFS(G333&lt;0.09,"Low",G333&lt;0.2,"Medium",G333&lt;0.4,"High")</f>
        <v>Medium</v>
      </c>
    </row>
    <row r="334" spans="1:15" x14ac:dyDescent="0.3">
      <c r="A334">
        <v>10333</v>
      </c>
      <c r="B334" s="1">
        <v>44894</v>
      </c>
      <c r="C334">
        <v>2020</v>
      </c>
      <c r="D334" t="s">
        <v>16</v>
      </c>
      <c r="E334">
        <v>9</v>
      </c>
      <c r="F334">
        <v>496.7</v>
      </c>
      <c r="G334">
        <v>0.28999999999999998</v>
      </c>
      <c r="H334" t="s">
        <v>13</v>
      </c>
      <c r="I334" t="s">
        <v>18</v>
      </c>
      <c r="J334">
        <f>amazon_store_sales_2022__1[[#This Row],[UnitPrice]]*amazon_store_sales_2022__1[[#This Row],[Quantity]]</f>
        <v>4470.3</v>
      </c>
      <c r="K334">
        <f>amazon_store_sales_2022__1[[#This Row],[Total ]]*amazon_store_sales_2022__1[[#This Row],[Discount]]</f>
        <v>1296.3869999999999</v>
      </c>
      <c r="L334" s="13">
        <f>amazon_store_sales_2022__1[[#This Row],[Total ]]-amazon_store_sales_2022__1[[#This Row],[Total Discount]]</f>
        <v>3173.9130000000005</v>
      </c>
      <c r="M334">
        <f>YEAR(amazon_store_sales_2022__1[[#This Row],[OrderDate]])</f>
        <v>2022</v>
      </c>
      <c r="N334" t="str" cm="1">
        <f t="array" ref="N334">_xlfn.IFS(L334&lt;500," VeryLow",L334&lt;1000,"Low",L334&lt;2000,"Medium",L334&lt;3000,"High",L334&lt;5000,"VeryHigh")</f>
        <v>VeryHigh</v>
      </c>
      <c r="O334" t="str" cm="1">
        <f t="array" ref="O334">_xlfn.IFS(G334&lt;0.09,"Low",G334&lt;0.2,"Medium",G334&lt;0.4,"High")</f>
        <v>High</v>
      </c>
    </row>
    <row r="335" spans="1:15" x14ac:dyDescent="0.3">
      <c r="A335">
        <v>10334</v>
      </c>
      <c r="B335" s="1">
        <v>44895</v>
      </c>
      <c r="C335">
        <v>2008</v>
      </c>
      <c r="D335" t="s">
        <v>16</v>
      </c>
      <c r="E335">
        <v>8</v>
      </c>
      <c r="F335">
        <v>377.45</v>
      </c>
      <c r="G335">
        <v>0.05</v>
      </c>
      <c r="H335" t="s">
        <v>17</v>
      </c>
      <c r="I335" t="s">
        <v>18</v>
      </c>
      <c r="J335">
        <f>amazon_store_sales_2022__1[[#This Row],[UnitPrice]]*amazon_store_sales_2022__1[[#This Row],[Quantity]]</f>
        <v>3019.6</v>
      </c>
      <c r="K335">
        <f>amazon_store_sales_2022__1[[#This Row],[Total ]]*amazon_store_sales_2022__1[[#This Row],[Discount]]</f>
        <v>150.97999999999999</v>
      </c>
      <c r="L335" s="13">
        <f>amazon_store_sales_2022__1[[#This Row],[Total ]]-amazon_store_sales_2022__1[[#This Row],[Total Discount]]</f>
        <v>2868.62</v>
      </c>
      <c r="M335">
        <f>YEAR(amazon_store_sales_2022__1[[#This Row],[OrderDate]])</f>
        <v>2022</v>
      </c>
      <c r="N335" t="str" cm="1">
        <f t="array" ref="N335">_xlfn.IFS(L335&lt;500," VeryLow",L335&lt;1000,"Low",L335&lt;2000,"Medium",L335&lt;3000,"High",L335&lt;5000,"VeryHigh")</f>
        <v>High</v>
      </c>
      <c r="O335" t="str" cm="1">
        <f t="array" ref="O335">_xlfn.IFS(G335&lt;0.09,"Low",G335&lt;0.2,"Medium",G335&lt;0.4,"High")</f>
        <v>Low</v>
      </c>
    </row>
    <row r="336" spans="1:15" x14ac:dyDescent="0.3">
      <c r="A336">
        <v>10335</v>
      </c>
      <c r="B336" s="1">
        <v>44896</v>
      </c>
      <c r="C336">
        <v>2007</v>
      </c>
      <c r="D336" t="s">
        <v>9</v>
      </c>
      <c r="E336">
        <v>9</v>
      </c>
      <c r="F336">
        <v>49.79</v>
      </c>
      <c r="G336">
        <v>0.21</v>
      </c>
      <c r="H336" t="s">
        <v>15</v>
      </c>
      <c r="I336" t="s">
        <v>18</v>
      </c>
      <c r="J336">
        <f>amazon_store_sales_2022__1[[#This Row],[UnitPrice]]*amazon_store_sales_2022__1[[#This Row],[Quantity]]</f>
        <v>448.11</v>
      </c>
      <c r="K336">
        <f>amazon_store_sales_2022__1[[#This Row],[Total ]]*amazon_store_sales_2022__1[[#This Row],[Discount]]</f>
        <v>94.103099999999998</v>
      </c>
      <c r="L336" s="13">
        <f>amazon_store_sales_2022__1[[#This Row],[Total ]]-amazon_store_sales_2022__1[[#This Row],[Total Discount]]</f>
        <v>354.00690000000003</v>
      </c>
      <c r="M336">
        <f>YEAR(amazon_store_sales_2022__1[[#This Row],[OrderDate]])</f>
        <v>2022</v>
      </c>
      <c r="N336" t="str" cm="1">
        <f t="array" ref="N336">_xlfn.IFS(L336&lt;500," VeryLow",L336&lt;1000,"Low",L336&lt;2000,"Medium",L336&lt;3000,"High",L336&lt;5000,"VeryHigh")</f>
        <v xml:space="preserve"> VeryLow</v>
      </c>
      <c r="O336" t="str" cm="1">
        <f t="array" ref="O336">_xlfn.IFS(G336&lt;0.09,"Low",G336&lt;0.2,"Medium",G336&lt;0.4,"High")</f>
        <v>High</v>
      </c>
    </row>
    <row r="337" spans="1:15" x14ac:dyDescent="0.3">
      <c r="A337">
        <v>10336</v>
      </c>
      <c r="B337" s="1">
        <v>44897</v>
      </c>
      <c r="C337">
        <v>2067</v>
      </c>
      <c r="D337" t="s">
        <v>12</v>
      </c>
      <c r="E337">
        <v>7</v>
      </c>
      <c r="F337">
        <v>147.9</v>
      </c>
      <c r="G337">
        <v>0.18</v>
      </c>
      <c r="H337" t="s">
        <v>20</v>
      </c>
      <c r="I337" t="s">
        <v>11</v>
      </c>
      <c r="J337">
        <f>amazon_store_sales_2022__1[[#This Row],[UnitPrice]]*amazon_store_sales_2022__1[[#This Row],[Quantity]]</f>
        <v>1035.3</v>
      </c>
      <c r="K337">
        <f>amazon_store_sales_2022__1[[#This Row],[Total ]]*amazon_store_sales_2022__1[[#This Row],[Discount]]</f>
        <v>186.35399999999998</v>
      </c>
      <c r="L337" s="13">
        <f>amazon_store_sales_2022__1[[#This Row],[Total ]]-amazon_store_sales_2022__1[[#This Row],[Total Discount]]</f>
        <v>848.94599999999991</v>
      </c>
      <c r="M337">
        <f>YEAR(amazon_store_sales_2022__1[[#This Row],[OrderDate]])</f>
        <v>2022</v>
      </c>
      <c r="N337" t="str" cm="1">
        <f t="array" ref="N337">_xlfn.IFS(L337&lt;500," VeryLow",L337&lt;1000,"Low",L337&lt;2000,"Medium",L337&lt;3000,"High",L337&lt;5000,"VeryHigh")</f>
        <v>Low</v>
      </c>
      <c r="O337" t="str" cm="1">
        <f t="array" ref="O337">_xlfn.IFS(G337&lt;0.09,"Low",G337&lt;0.2,"Medium",G337&lt;0.4,"High")</f>
        <v>Medium</v>
      </c>
    </row>
    <row r="338" spans="1:15" x14ac:dyDescent="0.3">
      <c r="A338">
        <v>10337</v>
      </c>
      <c r="B338" s="1">
        <v>44898</v>
      </c>
      <c r="C338">
        <v>2017</v>
      </c>
      <c r="D338" t="s">
        <v>19</v>
      </c>
      <c r="E338">
        <v>3</v>
      </c>
      <c r="F338">
        <v>59.01</v>
      </c>
      <c r="G338">
        <v>0.18</v>
      </c>
      <c r="H338" t="s">
        <v>17</v>
      </c>
      <c r="I338" t="s">
        <v>11</v>
      </c>
      <c r="J338">
        <f>amazon_store_sales_2022__1[[#This Row],[UnitPrice]]*amazon_store_sales_2022__1[[#This Row],[Quantity]]</f>
        <v>177.03</v>
      </c>
      <c r="K338">
        <f>amazon_store_sales_2022__1[[#This Row],[Total ]]*amazon_store_sales_2022__1[[#This Row],[Discount]]</f>
        <v>31.865399999999998</v>
      </c>
      <c r="L338" s="13">
        <f>amazon_store_sales_2022__1[[#This Row],[Total ]]-amazon_store_sales_2022__1[[#This Row],[Total Discount]]</f>
        <v>145.16460000000001</v>
      </c>
      <c r="M338">
        <f>YEAR(amazon_store_sales_2022__1[[#This Row],[OrderDate]])</f>
        <v>2022</v>
      </c>
      <c r="N338" t="str" cm="1">
        <f t="array" ref="N338">_xlfn.IFS(L338&lt;500," VeryLow",L338&lt;1000,"Low",L338&lt;2000,"Medium",L338&lt;3000,"High",L338&lt;5000,"VeryHigh")</f>
        <v xml:space="preserve"> VeryLow</v>
      </c>
      <c r="O338" t="str" cm="1">
        <f t="array" ref="O338">_xlfn.IFS(G338&lt;0.09,"Low",G338&lt;0.2,"Medium",G338&lt;0.4,"High")</f>
        <v>Medium</v>
      </c>
    </row>
    <row r="339" spans="1:15" x14ac:dyDescent="0.3">
      <c r="A339">
        <v>10338</v>
      </c>
      <c r="B339" s="1">
        <v>44899</v>
      </c>
      <c r="C339">
        <v>2033</v>
      </c>
      <c r="D339" t="s">
        <v>12</v>
      </c>
      <c r="E339">
        <v>3</v>
      </c>
      <c r="F339">
        <v>327</v>
      </c>
      <c r="G339">
        <v>0.21</v>
      </c>
      <c r="H339" t="s">
        <v>10</v>
      </c>
      <c r="I339" t="s">
        <v>11</v>
      </c>
      <c r="J339">
        <f>amazon_store_sales_2022__1[[#This Row],[UnitPrice]]*amazon_store_sales_2022__1[[#This Row],[Quantity]]</f>
        <v>981</v>
      </c>
      <c r="K339">
        <f>amazon_store_sales_2022__1[[#This Row],[Total ]]*amazon_store_sales_2022__1[[#This Row],[Discount]]</f>
        <v>206.01</v>
      </c>
      <c r="L339" s="13">
        <f>amazon_store_sales_2022__1[[#This Row],[Total ]]-amazon_store_sales_2022__1[[#This Row],[Total Discount]]</f>
        <v>774.99</v>
      </c>
      <c r="M339">
        <f>YEAR(amazon_store_sales_2022__1[[#This Row],[OrderDate]])</f>
        <v>2022</v>
      </c>
      <c r="N339" t="str" cm="1">
        <f t="array" ref="N339">_xlfn.IFS(L339&lt;500," VeryLow",L339&lt;1000,"Low",L339&lt;2000,"Medium",L339&lt;3000,"High",L339&lt;5000,"VeryHigh")</f>
        <v>Low</v>
      </c>
      <c r="O339" t="str" cm="1">
        <f t="array" ref="O339">_xlfn.IFS(G339&lt;0.09,"Low",G339&lt;0.2,"Medium",G339&lt;0.4,"High")</f>
        <v>High</v>
      </c>
    </row>
    <row r="340" spans="1:15" x14ac:dyDescent="0.3">
      <c r="A340">
        <v>10339</v>
      </c>
      <c r="B340" s="1">
        <v>44900</v>
      </c>
      <c r="C340">
        <v>2048</v>
      </c>
      <c r="D340" t="s">
        <v>19</v>
      </c>
      <c r="E340">
        <v>2</v>
      </c>
      <c r="F340">
        <v>383.77</v>
      </c>
      <c r="G340">
        <v>0.28000000000000003</v>
      </c>
      <c r="H340" t="s">
        <v>13</v>
      </c>
      <c r="I340" t="s">
        <v>18</v>
      </c>
      <c r="J340">
        <f>amazon_store_sales_2022__1[[#This Row],[UnitPrice]]*amazon_store_sales_2022__1[[#This Row],[Quantity]]</f>
        <v>767.54</v>
      </c>
      <c r="K340">
        <f>amazon_store_sales_2022__1[[#This Row],[Total ]]*amazon_store_sales_2022__1[[#This Row],[Discount]]</f>
        <v>214.91120000000001</v>
      </c>
      <c r="L340" s="13">
        <f>amazon_store_sales_2022__1[[#This Row],[Total ]]-amazon_store_sales_2022__1[[#This Row],[Total Discount]]</f>
        <v>552.62879999999996</v>
      </c>
      <c r="M340">
        <f>YEAR(amazon_store_sales_2022__1[[#This Row],[OrderDate]])</f>
        <v>2022</v>
      </c>
      <c r="N340" t="str" cm="1">
        <f t="array" ref="N340">_xlfn.IFS(L340&lt;500," VeryLow",L340&lt;1000,"Low",L340&lt;2000,"Medium",L340&lt;3000,"High",L340&lt;5000,"VeryHigh")</f>
        <v>Low</v>
      </c>
      <c r="O340" t="str" cm="1">
        <f t="array" ref="O340">_xlfn.IFS(G340&lt;0.09,"Low",G340&lt;0.2,"Medium",G340&lt;0.4,"High")</f>
        <v>High</v>
      </c>
    </row>
    <row r="341" spans="1:15" x14ac:dyDescent="0.3">
      <c r="A341">
        <v>10340</v>
      </c>
      <c r="B341" s="1">
        <v>44901</v>
      </c>
      <c r="C341">
        <v>2076</v>
      </c>
      <c r="D341" t="s">
        <v>9</v>
      </c>
      <c r="E341">
        <v>5</v>
      </c>
      <c r="F341">
        <v>463.21</v>
      </c>
      <c r="G341">
        <v>0.23</v>
      </c>
      <c r="H341" t="s">
        <v>17</v>
      </c>
      <c r="I341" t="s">
        <v>18</v>
      </c>
      <c r="J341">
        <f>amazon_store_sales_2022__1[[#This Row],[UnitPrice]]*amazon_store_sales_2022__1[[#This Row],[Quantity]]</f>
        <v>2316.0499999999997</v>
      </c>
      <c r="K341">
        <f>amazon_store_sales_2022__1[[#This Row],[Total ]]*amazon_store_sales_2022__1[[#This Row],[Discount]]</f>
        <v>532.69149999999991</v>
      </c>
      <c r="L341" s="13">
        <f>amazon_store_sales_2022__1[[#This Row],[Total ]]-amazon_store_sales_2022__1[[#This Row],[Total Discount]]</f>
        <v>1783.3584999999998</v>
      </c>
      <c r="M341">
        <f>YEAR(amazon_store_sales_2022__1[[#This Row],[OrderDate]])</f>
        <v>2022</v>
      </c>
      <c r="N341" t="str" cm="1">
        <f t="array" ref="N341">_xlfn.IFS(L341&lt;500," VeryLow",L341&lt;1000,"Low",L341&lt;2000,"Medium",L341&lt;3000,"High",L341&lt;5000,"VeryHigh")</f>
        <v>Medium</v>
      </c>
      <c r="O341" t="str" cm="1">
        <f t="array" ref="O341">_xlfn.IFS(G341&lt;0.09,"Low",G341&lt;0.2,"Medium",G341&lt;0.4,"High")</f>
        <v>High</v>
      </c>
    </row>
    <row r="342" spans="1:15" x14ac:dyDescent="0.3">
      <c r="A342">
        <v>10341</v>
      </c>
      <c r="B342" s="1">
        <v>44902</v>
      </c>
      <c r="C342">
        <v>2059</v>
      </c>
      <c r="D342" t="s">
        <v>9</v>
      </c>
      <c r="E342">
        <v>3</v>
      </c>
      <c r="F342">
        <v>221.9</v>
      </c>
      <c r="G342">
        <v>0.02</v>
      </c>
      <c r="H342" t="s">
        <v>17</v>
      </c>
      <c r="I342" t="s">
        <v>18</v>
      </c>
      <c r="J342">
        <f>amazon_store_sales_2022__1[[#This Row],[UnitPrice]]*amazon_store_sales_2022__1[[#This Row],[Quantity]]</f>
        <v>665.7</v>
      </c>
      <c r="K342">
        <f>amazon_store_sales_2022__1[[#This Row],[Total ]]*amazon_store_sales_2022__1[[#This Row],[Discount]]</f>
        <v>13.314000000000002</v>
      </c>
      <c r="L342" s="13">
        <f>amazon_store_sales_2022__1[[#This Row],[Total ]]-amazon_store_sales_2022__1[[#This Row],[Total Discount]]</f>
        <v>652.38600000000008</v>
      </c>
      <c r="M342">
        <f>YEAR(amazon_store_sales_2022__1[[#This Row],[OrderDate]])</f>
        <v>2022</v>
      </c>
      <c r="N342" t="str" cm="1">
        <f t="array" ref="N342">_xlfn.IFS(L342&lt;500," VeryLow",L342&lt;1000,"Low",L342&lt;2000,"Medium",L342&lt;3000,"High",L342&lt;5000,"VeryHigh")</f>
        <v>Low</v>
      </c>
      <c r="O342" t="str" cm="1">
        <f t="array" ref="O342">_xlfn.IFS(G342&lt;0.09,"Low",G342&lt;0.2,"Medium",G342&lt;0.4,"High")</f>
        <v>Low</v>
      </c>
    </row>
    <row r="343" spans="1:15" x14ac:dyDescent="0.3">
      <c r="A343">
        <v>10342</v>
      </c>
      <c r="B343" s="1">
        <v>44903</v>
      </c>
      <c r="C343">
        <v>2086</v>
      </c>
      <c r="D343" t="s">
        <v>16</v>
      </c>
      <c r="E343">
        <v>6</v>
      </c>
      <c r="F343">
        <v>451.18</v>
      </c>
      <c r="G343">
        <v>0.26</v>
      </c>
      <c r="H343" t="s">
        <v>10</v>
      </c>
      <c r="I343" t="s">
        <v>11</v>
      </c>
      <c r="J343">
        <f>amazon_store_sales_2022__1[[#This Row],[UnitPrice]]*amazon_store_sales_2022__1[[#This Row],[Quantity]]</f>
        <v>2707.08</v>
      </c>
      <c r="K343">
        <f>amazon_store_sales_2022__1[[#This Row],[Total ]]*amazon_store_sales_2022__1[[#This Row],[Discount]]</f>
        <v>703.84080000000006</v>
      </c>
      <c r="L343" s="13">
        <f>amazon_store_sales_2022__1[[#This Row],[Total ]]-amazon_store_sales_2022__1[[#This Row],[Total Discount]]</f>
        <v>2003.2392</v>
      </c>
      <c r="M343">
        <f>YEAR(amazon_store_sales_2022__1[[#This Row],[OrderDate]])</f>
        <v>2022</v>
      </c>
      <c r="N343" t="str" cm="1">
        <f t="array" ref="N343">_xlfn.IFS(L343&lt;500," VeryLow",L343&lt;1000,"Low",L343&lt;2000,"Medium",L343&lt;3000,"High",L343&lt;5000,"VeryHigh")</f>
        <v>High</v>
      </c>
      <c r="O343" t="str" cm="1">
        <f t="array" ref="O343">_xlfn.IFS(G343&lt;0.09,"Low",G343&lt;0.2,"Medium",G343&lt;0.4,"High")</f>
        <v>High</v>
      </c>
    </row>
    <row r="344" spans="1:15" x14ac:dyDescent="0.3">
      <c r="A344">
        <v>10343</v>
      </c>
      <c r="B344" s="1">
        <v>44904</v>
      </c>
      <c r="C344">
        <v>2022</v>
      </c>
      <c r="D344" t="s">
        <v>12</v>
      </c>
      <c r="E344">
        <v>2</v>
      </c>
      <c r="F344">
        <v>439.56</v>
      </c>
      <c r="G344">
        <v>7.0000000000000007E-2</v>
      </c>
      <c r="H344" t="s">
        <v>15</v>
      </c>
      <c r="I344" t="s">
        <v>11</v>
      </c>
      <c r="J344">
        <f>amazon_store_sales_2022__1[[#This Row],[UnitPrice]]*amazon_store_sales_2022__1[[#This Row],[Quantity]]</f>
        <v>879.12</v>
      </c>
      <c r="K344">
        <f>amazon_store_sales_2022__1[[#This Row],[Total ]]*amazon_store_sales_2022__1[[#This Row],[Discount]]</f>
        <v>61.538400000000003</v>
      </c>
      <c r="L344" s="13">
        <f>amazon_store_sales_2022__1[[#This Row],[Total ]]-amazon_store_sales_2022__1[[#This Row],[Total Discount]]</f>
        <v>817.58159999999998</v>
      </c>
      <c r="M344">
        <f>YEAR(amazon_store_sales_2022__1[[#This Row],[OrderDate]])</f>
        <v>2022</v>
      </c>
      <c r="N344" t="str" cm="1">
        <f t="array" ref="N344">_xlfn.IFS(L344&lt;500," VeryLow",L344&lt;1000,"Low",L344&lt;2000,"Medium",L344&lt;3000,"High",L344&lt;5000,"VeryHigh")</f>
        <v>Low</v>
      </c>
      <c r="O344" t="str" cm="1">
        <f t="array" ref="O344">_xlfn.IFS(G344&lt;0.09,"Low",G344&lt;0.2,"Medium",G344&lt;0.4,"High")</f>
        <v>Low</v>
      </c>
    </row>
    <row r="345" spans="1:15" x14ac:dyDescent="0.3">
      <c r="A345">
        <v>10344</v>
      </c>
      <c r="B345" s="1">
        <v>44905</v>
      </c>
      <c r="C345">
        <v>2030</v>
      </c>
      <c r="D345" t="s">
        <v>16</v>
      </c>
      <c r="E345">
        <v>3</v>
      </c>
      <c r="F345">
        <v>162.01</v>
      </c>
      <c r="G345">
        <v>0.11</v>
      </c>
      <c r="H345" t="s">
        <v>20</v>
      </c>
      <c r="I345" t="s">
        <v>18</v>
      </c>
      <c r="J345">
        <f>amazon_store_sales_2022__1[[#This Row],[UnitPrice]]*amazon_store_sales_2022__1[[#This Row],[Quantity]]</f>
        <v>486.03</v>
      </c>
      <c r="K345">
        <f>amazon_store_sales_2022__1[[#This Row],[Total ]]*amazon_store_sales_2022__1[[#This Row],[Discount]]</f>
        <v>53.463299999999997</v>
      </c>
      <c r="L345" s="13">
        <f>amazon_store_sales_2022__1[[#This Row],[Total ]]-amazon_store_sales_2022__1[[#This Row],[Total Discount]]</f>
        <v>432.56669999999997</v>
      </c>
      <c r="M345">
        <f>YEAR(amazon_store_sales_2022__1[[#This Row],[OrderDate]])</f>
        <v>2022</v>
      </c>
      <c r="N345" t="str" cm="1">
        <f t="array" ref="N345">_xlfn.IFS(L345&lt;500," VeryLow",L345&lt;1000,"Low",L345&lt;2000,"Medium",L345&lt;3000,"High",L345&lt;5000,"VeryHigh")</f>
        <v xml:space="preserve"> VeryLow</v>
      </c>
      <c r="O345" t="str" cm="1">
        <f t="array" ref="O345">_xlfn.IFS(G345&lt;0.09,"Low",G345&lt;0.2,"Medium",G345&lt;0.4,"High")</f>
        <v>Medium</v>
      </c>
    </row>
    <row r="346" spans="1:15" x14ac:dyDescent="0.3">
      <c r="A346">
        <v>10345</v>
      </c>
      <c r="B346" s="1">
        <v>44906</v>
      </c>
      <c r="C346">
        <v>2038</v>
      </c>
      <c r="D346" t="s">
        <v>12</v>
      </c>
      <c r="E346">
        <v>5</v>
      </c>
      <c r="F346">
        <v>435.11</v>
      </c>
      <c r="G346">
        <v>0.14000000000000001</v>
      </c>
      <c r="H346" t="s">
        <v>10</v>
      </c>
      <c r="I346" t="s">
        <v>11</v>
      </c>
      <c r="J346">
        <f>amazon_store_sales_2022__1[[#This Row],[UnitPrice]]*amazon_store_sales_2022__1[[#This Row],[Quantity]]</f>
        <v>2175.5500000000002</v>
      </c>
      <c r="K346">
        <f>amazon_store_sales_2022__1[[#This Row],[Total ]]*amazon_store_sales_2022__1[[#This Row],[Discount]]</f>
        <v>304.57700000000006</v>
      </c>
      <c r="L346" s="13">
        <f>amazon_store_sales_2022__1[[#This Row],[Total ]]-amazon_store_sales_2022__1[[#This Row],[Total Discount]]</f>
        <v>1870.9730000000002</v>
      </c>
      <c r="M346">
        <f>YEAR(amazon_store_sales_2022__1[[#This Row],[OrderDate]])</f>
        <v>2022</v>
      </c>
      <c r="N346" t="str" cm="1">
        <f t="array" ref="N346">_xlfn.IFS(L346&lt;500," VeryLow",L346&lt;1000,"Low",L346&lt;2000,"Medium",L346&lt;3000,"High",L346&lt;5000,"VeryHigh")</f>
        <v>Medium</v>
      </c>
      <c r="O346" t="str" cm="1">
        <f t="array" ref="O346">_xlfn.IFS(G346&lt;0.09,"Low",G346&lt;0.2,"Medium",G346&lt;0.4,"High")</f>
        <v>Medium</v>
      </c>
    </row>
    <row r="347" spans="1:15" x14ac:dyDescent="0.3">
      <c r="A347">
        <v>10346</v>
      </c>
      <c r="B347" s="1">
        <v>44907</v>
      </c>
      <c r="C347">
        <v>2051</v>
      </c>
      <c r="D347" t="s">
        <v>16</v>
      </c>
      <c r="E347">
        <v>1</v>
      </c>
      <c r="F347">
        <v>190.96</v>
      </c>
      <c r="G347">
        <v>0.14000000000000001</v>
      </c>
      <c r="H347" t="s">
        <v>20</v>
      </c>
      <c r="I347" t="s">
        <v>18</v>
      </c>
      <c r="J347">
        <f>amazon_store_sales_2022__1[[#This Row],[UnitPrice]]*amazon_store_sales_2022__1[[#This Row],[Quantity]]</f>
        <v>190.96</v>
      </c>
      <c r="K347">
        <f>amazon_store_sales_2022__1[[#This Row],[Total ]]*amazon_store_sales_2022__1[[#This Row],[Discount]]</f>
        <v>26.734400000000004</v>
      </c>
      <c r="L347" s="13">
        <f>amazon_store_sales_2022__1[[#This Row],[Total ]]-amazon_store_sales_2022__1[[#This Row],[Total Discount]]</f>
        <v>164.22560000000001</v>
      </c>
      <c r="M347">
        <f>YEAR(amazon_store_sales_2022__1[[#This Row],[OrderDate]])</f>
        <v>2022</v>
      </c>
      <c r="N347" t="str" cm="1">
        <f t="array" ref="N347">_xlfn.IFS(L347&lt;500," VeryLow",L347&lt;1000,"Low",L347&lt;2000,"Medium",L347&lt;3000,"High",L347&lt;5000,"VeryHigh")</f>
        <v xml:space="preserve"> VeryLow</v>
      </c>
      <c r="O347" t="str" cm="1">
        <f t="array" ref="O347">_xlfn.IFS(G347&lt;0.09,"Low",G347&lt;0.2,"Medium",G347&lt;0.4,"High")</f>
        <v>Medium</v>
      </c>
    </row>
    <row r="348" spans="1:15" x14ac:dyDescent="0.3">
      <c r="A348">
        <v>10347</v>
      </c>
      <c r="B348" s="1">
        <v>44908</v>
      </c>
      <c r="C348">
        <v>2054</v>
      </c>
      <c r="D348" t="s">
        <v>14</v>
      </c>
      <c r="E348">
        <v>1</v>
      </c>
      <c r="F348">
        <v>151.94999999999999</v>
      </c>
      <c r="G348">
        <v>0.13</v>
      </c>
      <c r="H348" t="s">
        <v>15</v>
      </c>
      <c r="I348" t="s">
        <v>11</v>
      </c>
      <c r="J348">
        <f>amazon_store_sales_2022__1[[#This Row],[UnitPrice]]*amazon_store_sales_2022__1[[#This Row],[Quantity]]</f>
        <v>151.94999999999999</v>
      </c>
      <c r="K348">
        <f>amazon_store_sales_2022__1[[#This Row],[Total ]]*amazon_store_sales_2022__1[[#This Row],[Discount]]</f>
        <v>19.753499999999999</v>
      </c>
      <c r="L348" s="13">
        <f>amazon_store_sales_2022__1[[#This Row],[Total ]]-amazon_store_sales_2022__1[[#This Row],[Total Discount]]</f>
        <v>132.19649999999999</v>
      </c>
      <c r="M348">
        <f>YEAR(amazon_store_sales_2022__1[[#This Row],[OrderDate]])</f>
        <v>2022</v>
      </c>
      <c r="N348" t="str" cm="1">
        <f t="array" ref="N348">_xlfn.IFS(L348&lt;500," VeryLow",L348&lt;1000,"Low",L348&lt;2000,"Medium",L348&lt;3000,"High",L348&lt;5000,"VeryHigh")</f>
        <v xml:space="preserve"> VeryLow</v>
      </c>
      <c r="O348" t="str" cm="1">
        <f t="array" ref="O348">_xlfn.IFS(G348&lt;0.09,"Low",G348&lt;0.2,"Medium",G348&lt;0.4,"High")</f>
        <v>Medium</v>
      </c>
    </row>
    <row r="349" spans="1:15" x14ac:dyDescent="0.3">
      <c r="A349">
        <v>10348</v>
      </c>
      <c r="B349" s="1">
        <v>44909</v>
      </c>
      <c r="C349">
        <v>2008</v>
      </c>
      <c r="D349" t="s">
        <v>14</v>
      </c>
      <c r="E349">
        <v>9</v>
      </c>
      <c r="F349">
        <v>326.29000000000002</v>
      </c>
      <c r="G349">
        <v>0.28000000000000003</v>
      </c>
      <c r="H349" t="s">
        <v>17</v>
      </c>
      <c r="I349" t="s">
        <v>11</v>
      </c>
      <c r="J349">
        <f>amazon_store_sales_2022__1[[#This Row],[UnitPrice]]*amazon_store_sales_2022__1[[#This Row],[Quantity]]</f>
        <v>2936.61</v>
      </c>
      <c r="K349">
        <f>amazon_store_sales_2022__1[[#This Row],[Total ]]*amazon_store_sales_2022__1[[#This Row],[Discount]]</f>
        <v>822.25080000000014</v>
      </c>
      <c r="L349" s="13">
        <f>amazon_store_sales_2022__1[[#This Row],[Total ]]-amazon_store_sales_2022__1[[#This Row],[Total Discount]]</f>
        <v>2114.3591999999999</v>
      </c>
      <c r="M349">
        <f>YEAR(amazon_store_sales_2022__1[[#This Row],[OrderDate]])</f>
        <v>2022</v>
      </c>
      <c r="N349" t="str" cm="1">
        <f t="array" ref="N349">_xlfn.IFS(L349&lt;500," VeryLow",L349&lt;1000,"Low",L349&lt;2000,"Medium",L349&lt;3000,"High",L349&lt;5000,"VeryHigh")</f>
        <v>High</v>
      </c>
      <c r="O349" t="str" cm="1">
        <f t="array" ref="O349">_xlfn.IFS(G349&lt;0.09,"Low",G349&lt;0.2,"Medium",G349&lt;0.4,"High")</f>
        <v>High</v>
      </c>
    </row>
    <row r="350" spans="1:15" x14ac:dyDescent="0.3">
      <c r="A350">
        <v>10349</v>
      </c>
      <c r="B350" s="1">
        <v>44910</v>
      </c>
      <c r="C350">
        <v>2027</v>
      </c>
      <c r="D350" t="s">
        <v>14</v>
      </c>
      <c r="E350">
        <v>7</v>
      </c>
      <c r="F350">
        <v>167.55</v>
      </c>
      <c r="G350">
        <v>0.21</v>
      </c>
      <c r="H350" t="s">
        <v>20</v>
      </c>
      <c r="I350" t="s">
        <v>11</v>
      </c>
      <c r="J350">
        <f>amazon_store_sales_2022__1[[#This Row],[UnitPrice]]*amazon_store_sales_2022__1[[#This Row],[Quantity]]</f>
        <v>1172.8500000000001</v>
      </c>
      <c r="K350">
        <f>amazon_store_sales_2022__1[[#This Row],[Total ]]*amazon_store_sales_2022__1[[#This Row],[Discount]]</f>
        <v>246.29850000000002</v>
      </c>
      <c r="L350" s="13">
        <f>amazon_store_sales_2022__1[[#This Row],[Total ]]-amazon_store_sales_2022__1[[#This Row],[Total Discount]]</f>
        <v>926.55150000000015</v>
      </c>
      <c r="M350">
        <f>YEAR(amazon_store_sales_2022__1[[#This Row],[OrderDate]])</f>
        <v>2022</v>
      </c>
      <c r="N350" t="str" cm="1">
        <f t="array" ref="N350">_xlfn.IFS(L350&lt;500," VeryLow",L350&lt;1000,"Low",L350&lt;2000,"Medium",L350&lt;3000,"High",L350&lt;5000,"VeryHigh")</f>
        <v>Low</v>
      </c>
      <c r="O350" t="str" cm="1">
        <f t="array" ref="O350">_xlfn.IFS(G350&lt;0.09,"Low",G350&lt;0.2,"Medium",G350&lt;0.4,"High")</f>
        <v>High</v>
      </c>
    </row>
    <row r="351" spans="1:15" x14ac:dyDescent="0.3">
      <c r="A351">
        <v>10350</v>
      </c>
      <c r="B351" s="1">
        <v>44911</v>
      </c>
      <c r="C351">
        <v>2027</v>
      </c>
      <c r="D351" t="s">
        <v>14</v>
      </c>
      <c r="E351">
        <v>1</v>
      </c>
      <c r="F351">
        <v>316.95</v>
      </c>
      <c r="G351">
        <v>0.19</v>
      </c>
      <c r="H351" t="s">
        <v>13</v>
      </c>
      <c r="I351" t="s">
        <v>18</v>
      </c>
      <c r="J351">
        <f>amazon_store_sales_2022__1[[#This Row],[UnitPrice]]*amazon_store_sales_2022__1[[#This Row],[Quantity]]</f>
        <v>316.95</v>
      </c>
      <c r="K351">
        <f>amazon_store_sales_2022__1[[#This Row],[Total ]]*amazon_store_sales_2022__1[[#This Row],[Discount]]</f>
        <v>60.220500000000001</v>
      </c>
      <c r="L351" s="13">
        <f>amazon_store_sales_2022__1[[#This Row],[Total ]]-amazon_store_sales_2022__1[[#This Row],[Total Discount]]</f>
        <v>256.72949999999997</v>
      </c>
      <c r="M351">
        <f>YEAR(amazon_store_sales_2022__1[[#This Row],[OrderDate]])</f>
        <v>2022</v>
      </c>
      <c r="N351" t="str" cm="1">
        <f t="array" ref="N351">_xlfn.IFS(L351&lt;500," VeryLow",L351&lt;1000,"Low",L351&lt;2000,"Medium",L351&lt;3000,"High",L351&lt;5000,"VeryHigh")</f>
        <v xml:space="preserve"> VeryLow</v>
      </c>
      <c r="O351" t="str" cm="1">
        <f t="array" ref="O351">_xlfn.IFS(G351&lt;0.09,"Low",G351&lt;0.2,"Medium",G351&lt;0.4,"High")</f>
        <v>Medium</v>
      </c>
    </row>
    <row r="352" spans="1:15" x14ac:dyDescent="0.3">
      <c r="A352">
        <v>10351</v>
      </c>
      <c r="B352" s="1">
        <v>44912</v>
      </c>
      <c r="C352">
        <v>2098</v>
      </c>
      <c r="D352" t="s">
        <v>19</v>
      </c>
      <c r="E352">
        <v>8</v>
      </c>
      <c r="F352">
        <v>306.87</v>
      </c>
      <c r="G352">
        <v>0.01</v>
      </c>
      <c r="H352" t="s">
        <v>13</v>
      </c>
      <c r="I352" t="s">
        <v>11</v>
      </c>
      <c r="J352">
        <f>amazon_store_sales_2022__1[[#This Row],[UnitPrice]]*amazon_store_sales_2022__1[[#This Row],[Quantity]]</f>
        <v>2454.96</v>
      </c>
      <c r="K352">
        <f>amazon_store_sales_2022__1[[#This Row],[Total ]]*amazon_store_sales_2022__1[[#This Row],[Discount]]</f>
        <v>24.549600000000002</v>
      </c>
      <c r="L352" s="13">
        <f>amazon_store_sales_2022__1[[#This Row],[Total ]]-amazon_store_sales_2022__1[[#This Row],[Total Discount]]</f>
        <v>2430.4104000000002</v>
      </c>
      <c r="M352">
        <f>YEAR(amazon_store_sales_2022__1[[#This Row],[OrderDate]])</f>
        <v>2022</v>
      </c>
      <c r="N352" t="str" cm="1">
        <f t="array" ref="N352">_xlfn.IFS(L352&lt;500," VeryLow",L352&lt;1000,"Low",L352&lt;2000,"Medium",L352&lt;3000,"High",L352&lt;5000,"VeryHigh")</f>
        <v>High</v>
      </c>
      <c r="O352" t="str" cm="1">
        <f t="array" ref="O352">_xlfn.IFS(G352&lt;0.09,"Low",G352&lt;0.2,"Medium",G352&lt;0.4,"High")</f>
        <v>Low</v>
      </c>
    </row>
    <row r="353" spans="1:15" x14ac:dyDescent="0.3">
      <c r="A353">
        <v>10352</v>
      </c>
      <c r="B353" s="1">
        <v>44913</v>
      </c>
      <c r="C353">
        <v>2021</v>
      </c>
      <c r="D353" t="s">
        <v>14</v>
      </c>
      <c r="E353">
        <v>3</v>
      </c>
      <c r="F353">
        <v>283.89999999999998</v>
      </c>
      <c r="G353">
        <v>0.27</v>
      </c>
      <c r="H353" t="s">
        <v>10</v>
      </c>
      <c r="I353" t="s">
        <v>11</v>
      </c>
      <c r="J353">
        <f>amazon_store_sales_2022__1[[#This Row],[UnitPrice]]*amazon_store_sales_2022__1[[#This Row],[Quantity]]</f>
        <v>851.69999999999993</v>
      </c>
      <c r="K353">
        <f>amazon_store_sales_2022__1[[#This Row],[Total ]]*amazon_store_sales_2022__1[[#This Row],[Discount]]</f>
        <v>229.959</v>
      </c>
      <c r="L353" s="13">
        <f>amazon_store_sales_2022__1[[#This Row],[Total ]]-amazon_store_sales_2022__1[[#This Row],[Total Discount]]</f>
        <v>621.74099999999999</v>
      </c>
      <c r="M353">
        <f>YEAR(amazon_store_sales_2022__1[[#This Row],[OrderDate]])</f>
        <v>2022</v>
      </c>
      <c r="N353" t="str" cm="1">
        <f t="array" ref="N353">_xlfn.IFS(L353&lt;500," VeryLow",L353&lt;1000,"Low",L353&lt;2000,"Medium",L353&lt;3000,"High",L353&lt;5000,"VeryHigh")</f>
        <v>Low</v>
      </c>
      <c r="O353" t="str" cm="1">
        <f t="array" ref="O353">_xlfn.IFS(G353&lt;0.09,"Low",G353&lt;0.2,"Medium",G353&lt;0.4,"High")</f>
        <v>High</v>
      </c>
    </row>
    <row r="354" spans="1:15" x14ac:dyDescent="0.3">
      <c r="A354">
        <v>10353</v>
      </c>
      <c r="B354" s="1">
        <v>44914</v>
      </c>
      <c r="C354">
        <v>2030</v>
      </c>
      <c r="D354" t="s">
        <v>9</v>
      </c>
      <c r="E354">
        <v>8</v>
      </c>
      <c r="F354">
        <v>193.31</v>
      </c>
      <c r="G354">
        <v>0.27</v>
      </c>
      <c r="H354" t="s">
        <v>15</v>
      </c>
      <c r="I354" t="s">
        <v>18</v>
      </c>
      <c r="J354">
        <f>amazon_store_sales_2022__1[[#This Row],[UnitPrice]]*amazon_store_sales_2022__1[[#This Row],[Quantity]]</f>
        <v>1546.48</v>
      </c>
      <c r="K354">
        <f>amazon_store_sales_2022__1[[#This Row],[Total ]]*amazon_store_sales_2022__1[[#This Row],[Discount]]</f>
        <v>417.54960000000005</v>
      </c>
      <c r="L354" s="13">
        <f>amazon_store_sales_2022__1[[#This Row],[Total ]]-amazon_store_sales_2022__1[[#This Row],[Total Discount]]</f>
        <v>1128.9304</v>
      </c>
      <c r="M354">
        <f>YEAR(amazon_store_sales_2022__1[[#This Row],[OrderDate]])</f>
        <v>2022</v>
      </c>
      <c r="N354" t="str" cm="1">
        <f t="array" ref="N354">_xlfn.IFS(L354&lt;500," VeryLow",L354&lt;1000,"Low",L354&lt;2000,"Medium",L354&lt;3000,"High",L354&lt;5000,"VeryHigh")</f>
        <v>Medium</v>
      </c>
      <c r="O354" t="str" cm="1">
        <f t="array" ref="O354">_xlfn.IFS(G354&lt;0.09,"Low",G354&lt;0.2,"Medium",G354&lt;0.4,"High")</f>
        <v>High</v>
      </c>
    </row>
    <row r="355" spans="1:15" x14ac:dyDescent="0.3">
      <c r="A355">
        <v>10354</v>
      </c>
      <c r="B355" s="1">
        <v>44915</v>
      </c>
      <c r="C355">
        <v>2097</v>
      </c>
      <c r="D355" t="s">
        <v>9</v>
      </c>
      <c r="E355">
        <v>5</v>
      </c>
      <c r="F355">
        <v>276.51</v>
      </c>
      <c r="G355">
        <v>0.23</v>
      </c>
      <c r="H355" t="s">
        <v>10</v>
      </c>
      <c r="I355" t="s">
        <v>11</v>
      </c>
      <c r="J355">
        <f>amazon_store_sales_2022__1[[#This Row],[UnitPrice]]*amazon_store_sales_2022__1[[#This Row],[Quantity]]</f>
        <v>1382.55</v>
      </c>
      <c r="K355">
        <f>amazon_store_sales_2022__1[[#This Row],[Total ]]*amazon_store_sales_2022__1[[#This Row],[Discount]]</f>
        <v>317.98649999999998</v>
      </c>
      <c r="L355" s="13">
        <f>amazon_store_sales_2022__1[[#This Row],[Total ]]-amazon_store_sales_2022__1[[#This Row],[Total Discount]]</f>
        <v>1064.5635</v>
      </c>
      <c r="M355">
        <f>YEAR(amazon_store_sales_2022__1[[#This Row],[OrderDate]])</f>
        <v>2022</v>
      </c>
      <c r="N355" t="str" cm="1">
        <f t="array" ref="N355">_xlfn.IFS(L355&lt;500," VeryLow",L355&lt;1000,"Low",L355&lt;2000,"Medium",L355&lt;3000,"High",L355&lt;5000,"VeryHigh")</f>
        <v>Medium</v>
      </c>
      <c r="O355" t="str" cm="1">
        <f t="array" ref="O355">_xlfn.IFS(G355&lt;0.09,"Low",G355&lt;0.2,"Medium",G355&lt;0.4,"High")</f>
        <v>High</v>
      </c>
    </row>
    <row r="356" spans="1:15" x14ac:dyDescent="0.3">
      <c r="A356">
        <v>10355</v>
      </c>
      <c r="B356" s="1">
        <v>44916</v>
      </c>
      <c r="C356">
        <v>2028</v>
      </c>
      <c r="D356" t="s">
        <v>19</v>
      </c>
      <c r="E356">
        <v>1</v>
      </c>
      <c r="F356">
        <v>300.26</v>
      </c>
      <c r="G356">
        <v>0</v>
      </c>
      <c r="H356" t="s">
        <v>10</v>
      </c>
      <c r="I356" t="s">
        <v>18</v>
      </c>
      <c r="J356">
        <f>amazon_store_sales_2022__1[[#This Row],[UnitPrice]]*amazon_store_sales_2022__1[[#This Row],[Quantity]]</f>
        <v>300.26</v>
      </c>
      <c r="K356">
        <f>amazon_store_sales_2022__1[[#This Row],[Total ]]*amazon_store_sales_2022__1[[#This Row],[Discount]]</f>
        <v>0</v>
      </c>
      <c r="L356" s="13">
        <f>amazon_store_sales_2022__1[[#This Row],[Total ]]-amazon_store_sales_2022__1[[#This Row],[Total Discount]]</f>
        <v>300.26</v>
      </c>
      <c r="M356">
        <f>YEAR(amazon_store_sales_2022__1[[#This Row],[OrderDate]])</f>
        <v>2022</v>
      </c>
      <c r="N356" t="str" cm="1">
        <f t="array" ref="N356">_xlfn.IFS(L356&lt;500," VeryLow",L356&lt;1000,"Low",L356&lt;2000,"Medium",L356&lt;3000,"High",L356&lt;5000,"VeryHigh")</f>
        <v xml:space="preserve"> VeryLow</v>
      </c>
      <c r="O356" t="str" cm="1">
        <f t="array" ref="O356">_xlfn.IFS(G356&lt;0.09,"Low",G356&lt;0.2,"Medium",G356&lt;0.4,"High")</f>
        <v>Low</v>
      </c>
    </row>
    <row r="357" spans="1:15" x14ac:dyDescent="0.3">
      <c r="A357">
        <v>10356</v>
      </c>
      <c r="B357" s="1">
        <v>44917</v>
      </c>
      <c r="C357">
        <v>2064</v>
      </c>
      <c r="D357" t="s">
        <v>14</v>
      </c>
      <c r="E357">
        <v>7</v>
      </c>
      <c r="F357">
        <v>275.12</v>
      </c>
      <c r="G357">
        <v>0.02</v>
      </c>
      <c r="H357" t="s">
        <v>10</v>
      </c>
      <c r="I357" t="s">
        <v>18</v>
      </c>
      <c r="J357">
        <f>amazon_store_sales_2022__1[[#This Row],[UnitPrice]]*amazon_store_sales_2022__1[[#This Row],[Quantity]]</f>
        <v>1925.8400000000001</v>
      </c>
      <c r="K357">
        <f>amazon_store_sales_2022__1[[#This Row],[Total ]]*amazon_store_sales_2022__1[[#This Row],[Discount]]</f>
        <v>38.516800000000003</v>
      </c>
      <c r="L357" s="13">
        <f>amazon_store_sales_2022__1[[#This Row],[Total ]]-amazon_store_sales_2022__1[[#This Row],[Total Discount]]</f>
        <v>1887.3232</v>
      </c>
      <c r="M357">
        <f>YEAR(amazon_store_sales_2022__1[[#This Row],[OrderDate]])</f>
        <v>2022</v>
      </c>
      <c r="N357" t="str" cm="1">
        <f t="array" ref="N357">_xlfn.IFS(L357&lt;500," VeryLow",L357&lt;1000,"Low",L357&lt;2000,"Medium",L357&lt;3000,"High",L357&lt;5000,"VeryHigh")</f>
        <v>Medium</v>
      </c>
      <c r="O357" t="str" cm="1">
        <f t="array" ref="O357">_xlfn.IFS(G357&lt;0.09,"Low",G357&lt;0.2,"Medium",G357&lt;0.4,"High")</f>
        <v>Low</v>
      </c>
    </row>
    <row r="358" spans="1:15" x14ac:dyDescent="0.3">
      <c r="A358">
        <v>10357</v>
      </c>
      <c r="B358" s="1">
        <v>44918</v>
      </c>
      <c r="C358">
        <v>2097</v>
      </c>
      <c r="D358" t="s">
        <v>14</v>
      </c>
      <c r="E358">
        <v>5</v>
      </c>
      <c r="F358">
        <v>224.99</v>
      </c>
      <c r="G358">
        <v>7.0000000000000007E-2</v>
      </c>
      <c r="H358" t="s">
        <v>13</v>
      </c>
      <c r="I358" t="s">
        <v>18</v>
      </c>
      <c r="J358">
        <f>amazon_store_sales_2022__1[[#This Row],[UnitPrice]]*amazon_store_sales_2022__1[[#This Row],[Quantity]]</f>
        <v>1124.95</v>
      </c>
      <c r="K358">
        <f>amazon_store_sales_2022__1[[#This Row],[Total ]]*amazon_store_sales_2022__1[[#This Row],[Discount]]</f>
        <v>78.746500000000012</v>
      </c>
      <c r="L358" s="13">
        <f>amazon_store_sales_2022__1[[#This Row],[Total ]]-amazon_store_sales_2022__1[[#This Row],[Total Discount]]</f>
        <v>1046.2035000000001</v>
      </c>
      <c r="M358">
        <f>YEAR(amazon_store_sales_2022__1[[#This Row],[OrderDate]])</f>
        <v>2022</v>
      </c>
      <c r="N358" t="str" cm="1">
        <f t="array" ref="N358">_xlfn.IFS(L358&lt;500," VeryLow",L358&lt;1000,"Low",L358&lt;2000,"Medium",L358&lt;3000,"High",L358&lt;5000,"VeryHigh")</f>
        <v>Medium</v>
      </c>
      <c r="O358" t="str" cm="1">
        <f t="array" ref="O358">_xlfn.IFS(G358&lt;0.09,"Low",G358&lt;0.2,"Medium",G358&lt;0.4,"High")</f>
        <v>Low</v>
      </c>
    </row>
    <row r="359" spans="1:15" x14ac:dyDescent="0.3">
      <c r="A359">
        <v>10358</v>
      </c>
      <c r="B359" s="1">
        <v>44919</v>
      </c>
      <c r="C359">
        <v>2069</v>
      </c>
      <c r="D359" t="s">
        <v>14</v>
      </c>
      <c r="E359">
        <v>6</v>
      </c>
      <c r="F359">
        <v>12.26</v>
      </c>
      <c r="G359">
        <v>0.04</v>
      </c>
      <c r="H359" t="s">
        <v>13</v>
      </c>
      <c r="I359" t="s">
        <v>18</v>
      </c>
      <c r="J359">
        <f>amazon_store_sales_2022__1[[#This Row],[UnitPrice]]*amazon_store_sales_2022__1[[#This Row],[Quantity]]</f>
        <v>73.56</v>
      </c>
      <c r="K359">
        <f>amazon_store_sales_2022__1[[#This Row],[Total ]]*amazon_store_sales_2022__1[[#This Row],[Discount]]</f>
        <v>2.9424000000000001</v>
      </c>
      <c r="L359" s="13">
        <f>amazon_store_sales_2022__1[[#This Row],[Total ]]-amazon_store_sales_2022__1[[#This Row],[Total Discount]]</f>
        <v>70.617599999999996</v>
      </c>
      <c r="M359">
        <f>YEAR(amazon_store_sales_2022__1[[#This Row],[OrderDate]])</f>
        <v>2022</v>
      </c>
      <c r="N359" t="str" cm="1">
        <f t="array" ref="N359">_xlfn.IFS(L359&lt;500," VeryLow",L359&lt;1000,"Low",L359&lt;2000,"Medium",L359&lt;3000,"High",L359&lt;5000,"VeryHigh")</f>
        <v xml:space="preserve"> VeryLow</v>
      </c>
      <c r="O359" t="str" cm="1">
        <f t="array" ref="O359">_xlfn.IFS(G359&lt;0.09,"Low",G359&lt;0.2,"Medium",G359&lt;0.4,"High")</f>
        <v>Low</v>
      </c>
    </row>
    <row r="360" spans="1:15" x14ac:dyDescent="0.3">
      <c r="A360">
        <v>10359</v>
      </c>
      <c r="B360" s="1">
        <v>44920</v>
      </c>
      <c r="C360">
        <v>2061</v>
      </c>
      <c r="D360" t="s">
        <v>16</v>
      </c>
      <c r="E360">
        <v>6</v>
      </c>
      <c r="F360">
        <v>295.60000000000002</v>
      </c>
      <c r="G360">
        <v>0.12</v>
      </c>
      <c r="H360" t="s">
        <v>10</v>
      </c>
      <c r="I360" t="s">
        <v>18</v>
      </c>
      <c r="J360">
        <f>amazon_store_sales_2022__1[[#This Row],[UnitPrice]]*amazon_store_sales_2022__1[[#This Row],[Quantity]]</f>
        <v>1773.6000000000001</v>
      </c>
      <c r="K360">
        <f>amazon_store_sales_2022__1[[#This Row],[Total ]]*amazon_store_sales_2022__1[[#This Row],[Discount]]</f>
        <v>212.83200000000002</v>
      </c>
      <c r="L360" s="13">
        <f>amazon_store_sales_2022__1[[#This Row],[Total ]]-amazon_store_sales_2022__1[[#This Row],[Total Discount]]</f>
        <v>1560.768</v>
      </c>
      <c r="M360">
        <f>YEAR(amazon_store_sales_2022__1[[#This Row],[OrderDate]])</f>
        <v>2022</v>
      </c>
      <c r="N360" t="str" cm="1">
        <f t="array" ref="N360">_xlfn.IFS(L360&lt;500," VeryLow",L360&lt;1000,"Low",L360&lt;2000,"Medium",L360&lt;3000,"High",L360&lt;5000,"VeryHigh")</f>
        <v>Medium</v>
      </c>
      <c r="O360" t="str" cm="1">
        <f t="array" ref="O360">_xlfn.IFS(G360&lt;0.09,"Low",G360&lt;0.2,"Medium",G360&lt;0.4,"High")</f>
        <v>Medium</v>
      </c>
    </row>
    <row r="361" spans="1:15" x14ac:dyDescent="0.3">
      <c r="A361">
        <v>10360</v>
      </c>
      <c r="B361" s="1">
        <v>44921</v>
      </c>
      <c r="C361">
        <v>2048</v>
      </c>
      <c r="D361" t="s">
        <v>12</v>
      </c>
      <c r="E361">
        <v>8</v>
      </c>
      <c r="F361">
        <v>88.38</v>
      </c>
      <c r="G361">
        <v>0.28000000000000003</v>
      </c>
      <c r="H361" t="s">
        <v>13</v>
      </c>
      <c r="I361" t="s">
        <v>11</v>
      </c>
      <c r="J361">
        <f>amazon_store_sales_2022__1[[#This Row],[UnitPrice]]*amazon_store_sales_2022__1[[#This Row],[Quantity]]</f>
        <v>707.04</v>
      </c>
      <c r="K361">
        <f>amazon_store_sales_2022__1[[#This Row],[Total ]]*amazon_store_sales_2022__1[[#This Row],[Discount]]</f>
        <v>197.97120000000001</v>
      </c>
      <c r="L361" s="13">
        <f>amazon_store_sales_2022__1[[#This Row],[Total ]]-amazon_store_sales_2022__1[[#This Row],[Total Discount]]</f>
        <v>509.06879999999995</v>
      </c>
      <c r="M361">
        <f>YEAR(amazon_store_sales_2022__1[[#This Row],[OrderDate]])</f>
        <v>2022</v>
      </c>
      <c r="N361" t="str" cm="1">
        <f t="array" ref="N361">_xlfn.IFS(L361&lt;500," VeryLow",L361&lt;1000,"Low",L361&lt;2000,"Medium",L361&lt;3000,"High",L361&lt;5000,"VeryHigh")</f>
        <v>Low</v>
      </c>
      <c r="O361" t="str" cm="1">
        <f t="array" ref="O361">_xlfn.IFS(G361&lt;0.09,"Low",G361&lt;0.2,"Medium",G361&lt;0.4,"High")</f>
        <v>High</v>
      </c>
    </row>
    <row r="362" spans="1:15" x14ac:dyDescent="0.3">
      <c r="A362">
        <v>10361</v>
      </c>
      <c r="B362" s="1">
        <v>44922</v>
      </c>
      <c r="C362">
        <v>2019</v>
      </c>
      <c r="D362" t="s">
        <v>16</v>
      </c>
      <c r="E362">
        <v>9</v>
      </c>
      <c r="F362">
        <v>323.08</v>
      </c>
      <c r="G362">
        <v>0.14000000000000001</v>
      </c>
      <c r="H362" t="s">
        <v>15</v>
      </c>
      <c r="I362" t="s">
        <v>18</v>
      </c>
      <c r="J362">
        <f>amazon_store_sales_2022__1[[#This Row],[UnitPrice]]*amazon_store_sales_2022__1[[#This Row],[Quantity]]</f>
        <v>2907.72</v>
      </c>
      <c r="K362">
        <f>amazon_store_sales_2022__1[[#This Row],[Total ]]*amazon_store_sales_2022__1[[#This Row],[Discount]]</f>
        <v>407.08080000000001</v>
      </c>
      <c r="L362" s="13">
        <f>amazon_store_sales_2022__1[[#This Row],[Total ]]-amazon_store_sales_2022__1[[#This Row],[Total Discount]]</f>
        <v>2500.6391999999996</v>
      </c>
      <c r="M362">
        <f>YEAR(amazon_store_sales_2022__1[[#This Row],[OrderDate]])</f>
        <v>2022</v>
      </c>
      <c r="N362" t="str" cm="1">
        <f t="array" ref="N362">_xlfn.IFS(L362&lt;500," VeryLow",L362&lt;1000,"Low",L362&lt;2000,"Medium",L362&lt;3000,"High",L362&lt;5000,"VeryHigh")</f>
        <v>High</v>
      </c>
      <c r="O362" t="str" cm="1">
        <f t="array" ref="O362">_xlfn.IFS(G362&lt;0.09,"Low",G362&lt;0.2,"Medium",G362&lt;0.4,"High")</f>
        <v>Medium</v>
      </c>
    </row>
    <row r="363" spans="1:15" x14ac:dyDescent="0.3">
      <c r="A363">
        <v>10362</v>
      </c>
      <c r="B363" s="1">
        <v>44923</v>
      </c>
      <c r="C363">
        <v>2004</v>
      </c>
      <c r="D363" t="s">
        <v>12</v>
      </c>
      <c r="E363">
        <v>2</v>
      </c>
      <c r="F363">
        <v>380.88</v>
      </c>
      <c r="G363">
        <v>0</v>
      </c>
      <c r="H363" t="s">
        <v>10</v>
      </c>
      <c r="I363" t="s">
        <v>18</v>
      </c>
      <c r="J363">
        <f>amazon_store_sales_2022__1[[#This Row],[UnitPrice]]*amazon_store_sales_2022__1[[#This Row],[Quantity]]</f>
        <v>761.76</v>
      </c>
      <c r="K363">
        <f>amazon_store_sales_2022__1[[#This Row],[Total ]]*amazon_store_sales_2022__1[[#This Row],[Discount]]</f>
        <v>0</v>
      </c>
      <c r="L363" s="13">
        <f>amazon_store_sales_2022__1[[#This Row],[Total ]]-amazon_store_sales_2022__1[[#This Row],[Total Discount]]</f>
        <v>761.76</v>
      </c>
      <c r="M363">
        <f>YEAR(amazon_store_sales_2022__1[[#This Row],[OrderDate]])</f>
        <v>2022</v>
      </c>
      <c r="N363" t="str" cm="1">
        <f t="array" ref="N363">_xlfn.IFS(L363&lt;500," VeryLow",L363&lt;1000,"Low",L363&lt;2000,"Medium",L363&lt;3000,"High",L363&lt;5000,"VeryHigh")</f>
        <v>Low</v>
      </c>
      <c r="O363" t="str" cm="1">
        <f t="array" ref="O363">_xlfn.IFS(G363&lt;0.09,"Low",G363&lt;0.2,"Medium",G363&lt;0.4,"High")</f>
        <v>Low</v>
      </c>
    </row>
    <row r="364" spans="1:15" x14ac:dyDescent="0.3">
      <c r="A364">
        <v>10363</v>
      </c>
      <c r="B364" s="1">
        <v>44924</v>
      </c>
      <c r="C364">
        <v>2035</v>
      </c>
      <c r="D364" t="s">
        <v>14</v>
      </c>
      <c r="E364">
        <v>9</v>
      </c>
      <c r="F364">
        <v>252.72</v>
      </c>
      <c r="G364">
        <v>0.08</v>
      </c>
      <c r="H364" t="s">
        <v>13</v>
      </c>
      <c r="I364" t="s">
        <v>18</v>
      </c>
      <c r="J364">
        <f>amazon_store_sales_2022__1[[#This Row],[UnitPrice]]*amazon_store_sales_2022__1[[#This Row],[Quantity]]</f>
        <v>2274.48</v>
      </c>
      <c r="K364">
        <f>amazon_store_sales_2022__1[[#This Row],[Total ]]*amazon_store_sales_2022__1[[#This Row],[Discount]]</f>
        <v>181.95840000000001</v>
      </c>
      <c r="L364" s="13">
        <f>amazon_store_sales_2022__1[[#This Row],[Total ]]-amazon_store_sales_2022__1[[#This Row],[Total Discount]]</f>
        <v>2092.5216</v>
      </c>
      <c r="M364">
        <f>YEAR(amazon_store_sales_2022__1[[#This Row],[OrderDate]])</f>
        <v>2022</v>
      </c>
      <c r="N364" t="str" cm="1">
        <f t="array" ref="N364">_xlfn.IFS(L364&lt;500," VeryLow",L364&lt;1000,"Low",L364&lt;2000,"Medium",L364&lt;3000,"High",L364&lt;5000,"VeryHigh")</f>
        <v>High</v>
      </c>
      <c r="O364" t="str" cm="1">
        <f t="array" ref="O364">_xlfn.IFS(G364&lt;0.09,"Low",G364&lt;0.2,"Medium",G364&lt;0.4,"High")</f>
        <v>Low</v>
      </c>
    </row>
    <row r="365" spans="1:15" x14ac:dyDescent="0.3">
      <c r="A365">
        <v>10364</v>
      </c>
      <c r="B365" s="1">
        <v>44925</v>
      </c>
      <c r="C365">
        <v>2064</v>
      </c>
      <c r="D365" t="s">
        <v>14</v>
      </c>
      <c r="E365">
        <v>9</v>
      </c>
      <c r="F365">
        <v>273.47000000000003</v>
      </c>
      <c r="G365">
        <v>0.01</v>
      </c>
      <c r="H365" t="s">
        <v>20</v>
      </c>
      <c r="I365" t="s">
        <v>18</v>
      </c>
      <c r="J365">
        <f>amazon_store_sales_2022__1[[#This Row],[UnitPrice]]*amazon_store_sales_2022__1[[#This Row],[Quantity]]</f>
        <v>2461.2300000000005</v>
      </c>
      <c r="K365">
        <f>amazon_store_sales_2022__1[[#This Row],[Total ]]*amazon_store_sales_2022__1[[#This Row],[Discount]]</f>
        <v>24.612300000000005</v>
      </c>
      <c r="L365" s="13">
        <f>amazon_store_sales_2022__1[[#This Row],[Total ]]-amazon_store_sales_2022__1[[#This Row],[Total Discount]]</f>
        <v>2436.6177000000007</v>
      </c>
      <c r="M365">
        <f>YEAR(amazon_store_sales_2022__1[[#This Row],[OrderDate]])</f>
        <v>2022</v>
      </c>
      <c r="N365" t="str" cm="1">
        <f t="array" ref="N365">_xlfn.IFS(L365&lt;500," VeryLow",L365&lt;1000,"Low",L365&lt;2000,"Medium",L365&lt;3000,"High",L365&lt;5000,"VeryHigh")</f>
        <v>High</v>
      </c>
      <c r="O365" t="str" cm="1">
        <f t="array" ref="O365">_xlfn.IFS(G365&lt;0.09,"Low",G365&lt;0.2,"Medium",G365&lt;0.4,"High")</f>
        <v>Low</v>
      </c>
    </row>
    <row r="366" spans="1:15" x14ac:dyDescent="0.3">
      <c r="A366">
        <v>10365</v>
      </c>
      <c r="B366" s="1">
        <v>44926</v>
      </c>
      <c r="C366">
        <v>2049</v>
      </c>
      <c r="D366" t="s">
        <v>16</v>
      </c>
      <c r="E366">
        <v>7</v>
      </c>
      <c r="F366">
        <v>475.98</v>
      </c>
      <c r="G366">
        <v>0.01</v>
      </c>
      <c r="H366" t="s">
        <v>10</v>
      </c>
      <c r="I366" t="s">
        <v>11</v>
      </c>
      <c r="J366">
        <f>amazon_store_sales_2022__1[[#This Row],[UnitPrice]]*amazon_store_sales_2022__1[[#This Row],[Quantity]]</f>
        <v>3331.86</v>
      </c>
      <c r="K366">
        <f>amazon_store_sales_2022__1[[#This Row],[Total ]]*amazon_store_sales_2022__1[[#This Row],[Discount]]</f>
        <v>33.318600000000004</v>
      </c>
      <c r="L366" s="13">
        <f>amazon_store_sales_2022__1[[#This Row],[Total ]]-amazon_store_sales_2022__1[[#This Row],[Total Discount]]</f>
        <v>3298.5414000000001</v>
      </c>
      <c r="M366">
        <f>YEAR(amazon_store_sales_2022__1[[#This Row],[OrderDate]])</f>
        <v>2022</v>
      </c>
      <c r="N366" t="str" cm="1">
        <f t="array" ref="N366">_xlfn.IFS(L366&lt;500," VeryLow",L366&lt;1000,"Low",L366&lt;2000,"Medium",L366&lt;3000,"High",L366&lt;5000,"VeryHigh")</f>
        <v>VeryHigh</v>
      </c>
      <c r="O366" t="str" cm="1">
        <f t="array" ref="O366">_xlfn.IFS(G366&lt;0.09,"Low",G366&lt;0.2,"Medium",G366&lt;0.4,"High")</f>
        <v>Low</v>
      </c>
    </row>
    <row r="367" spans="1:15" x14ac:dyDescent="0.3">
      <c r="A367">
        <v>10366</v>
      </c>
      <c r="B367" s="1">
        <v>44927</v>
      </c>
      <c r="C367">
        <v>2017</v>
      </c>
      <c r="D367" t="s">
        <v>16</v>
      </c>
      <c r="E367">
        <v>1</v>
      </c>
      <c r="F367">
        <v>424.35</v>
      </c>
      <c r="G367">
        <v>0.08</v>
      </c>
      <c r="H367" t="s">
        <v>10</v>
      </c>
      <c r="I367" t="s">
        <v>18</v>
      </c>
      <c r="J367">
        <f>amazon_store_sales_2022__1[[#This Row],[UnitPrice]]*amazon_store_sales_2022__1[[#This Row],[Quantity]]</f>
        <v>424.35</v>
      </c>
      <c r="K367">
        <f>amazon_store_sales_2022__1[[#This Row],[Total ]]*amazon_store_sales_2022__1[[#This Row],[Discount]]</f>
        <v>33.948</v>
      </c>
      <c r="L367" s="13">
        <f>amazon_store_sales_2022__1[[#This Row],[Total ]]-amazon_store_sales_2022__1[[#This Row],[Total Discount]]</f>
        <v>390.40200000000004</v>
      </c>
      <c r="M367">
        <f>YEAR(amazon_store_sales_2022__1[[#This Row],[OrderDate]])</f>
        <v>2023</v>
      </c>
      <c r="N367" t="str" cm="1">
        <f t="array" ref="N367">_xlfn.IFS(L367&lt;500," VeryLow",L367&lt;1000,"Low",L367&lt;2000,"Medium",L367&lt;3000,"High",L367&lt;5000,"VeryHigh")</f>
        <v xml:space="preserve"> VeryLow</v>
      </c>
      <c r="O367" t="str" cm="1">
        <f t="array" ref="O367">_xlfn.IFS(G367&lt;0.09,"Low",G367&lt;0.2,"Medium",G367&lt;0.4,"High")</f>
        <v>Low</v>
      </c>
    </row>
    <row r="368" spans="1:15" x14ac:dyDescent="0.3">
      <c r="A368">
        <v>10367</v>
      </c>
      <c r="B368" s="1">
        <v>44928</v>
      </c>
      <c r="C368">
        <v>2044</v>
      </c>
      <c r="D368" t="s">
        <v>12</v>
      </c>
      <c r="E368">
        <v>7</v>
      </c>
      <c r="F368">
        <v>457.55</v>
      </c>
      <c r="G368">
        <v>0.08</v>
      </c>
      <c r="H368" t="s">
        <v>15</v>
      </c>
      <c r="I368" t="s">
        <v>11</v>
      </c>
      <c r="J368">
        <f>amazon_store_sales_2022__1[[#This Row],[UnitPrice]]*amazon_store_sales_2022__1[[#This Row],[Quantity]]</f>
        <v>3202.85</v>
      </c>
      <c r="K368">
        <f>amazon_store_sales_2022__1[[#This Row],[Total ]]*amazon_store_sales_2022__1[[#This Row],[Discount]]</f>
        <v>256.22800000000001</v>
      </c>
      <c r="L368" s="13">
        <f>amazon_store_sales_2022__1[[#This Row],[Total ]]-amazon_store_sales_2022__1[[#This Row],[Total Discount]]</f>
        <v>2946.6219999999998</v>
      </c>
      <c r="M368">
        <f>YEAR(amazon_store_sales_2022__1[[#This Row],[OrderDate]])</f>
        <v>2023</v>
      </c>
      <c r="N368" t="str" cm="1">
        <f t="array" ref="N368">_xlfn.IFS(L368&lt;500," VeryLow",L368&lt;1000,"Low",L368&lt;2000,"Medium",L368&lt;3000,"High",L368&lt;5000,"VeryHigh")</f>
        <v>High</v>
      </c>
      <c r="O368" t="str" cm="1">
        <f t="array" ref="O368">_xlfn.IFS(G368&lt;0.09,"Low",G368&lt;0.2,"Medium",G368&lt;0.4,"High")</f>
        <v>Low</v>
      </c>
    </row>
    <row r="369" spans="1:15" x14ac:dyDescent="0.3">
      <c r="A369">
        <v>10368</v>
      </c>
      <c r="B369" s="1">
        <v>44929</v>
      </c>
      <c r="C369">
        <v>2092</v>
      </c>
      <c r="D369" t="s">
        <v>9</v>
      </c>
      <c r="E369">
        <v>5</v>
      </c>
      <c r="F369">
        <v>407.81</v>
      </c>
      <c r="G369">
        <v>0.24</v>
      </c>
      <c r="H369" t="s">
        <v>17</v>
      </c>
      <c r="I369" t="s">
        <v>18</v>
      </c>
      <c r="J369">
        <f>amazon_store_sales_2022__1[[#This Row],[UnitPrice]]*amazon_store_sales_2022__1[[#This Row],[Quantity]]</f>
        <v>2039.05</v>
      </c>
      <c r="K369">
        <f>amazon_store_sales_2022__1[[#This Row],[Total ]]*amazon_store_sales_2022__1[[#This Row],[Discount]]</f>
        <v>489.37199999999996</v>
      </c>
      <c r="L369" s="13">
        <f>amazon_store_sales_2022__1[[#This Row],[Total ]]-amazon_store_sales_2022__1[[#This Row],[Total Discount]]</f>
        <v>1549.6779999999999</v>
      </c>
      <c r="M369">
        <f>YEAR(amazon_store_sales_2022__1[[#This Row],[OrderDate]])</f>
        <v>2023</v>
      </c>
      <c r="N369" t="str" cm="1">
        <f t="array" ref="N369">_xlfn.IFS(L369&lt;500," VeryLow",L369&lt;1000,"Low",L369&lt;2000,"Medium",L369&lt;3000,"High",L369&lt;5000,"VeryHigh")</f>
        <v>Medium</v>
      </c>
      <c r="O369" t="str" cm="1">
        <f t="array" ref="O369">_xlfn.IFS(G369&lt;0.09,"Low",G369&lt;0.2,"Medium",G369&lt;0.4,"High")</f>
        <v>High</v>
      </c>
    </row>
    <row r="370" spans="1:15" x14ac:dyDescent="0.3">
      <c r="A370">
        <v>10369</v>
      </c>
      <c r="B370" s="1">
        <v>44930</v>
      </c>
      <c r="C370">
        <v>2030</v>
      </c>
      <c r="D370" t="s">
        <v>12</v>
      </c>
      <c r="E370">
        <v>6</v>
      </c>
      <c r="F370">
        <v>58.91</v>
      </c>
      <c r="G370">
        <v>0.28999999999999998</v>
      </c>
      <c r="H370" t="s">
        <v>17</v>
      </c>
      <c r="I370" t="s">
        <v>11</v>
      </c>
      <c r="J370">
        <f>amazon_store_sales_2022__1[[#This Row],[UnitPrice]]*amazon_store_sales_2022__1[[#This Row],[Quantity]]</f>
        <v>353.46</v>
      </c>
      <c r="K370">
        <f>amazon_store_sales_2022__1[[#This Row],[Total ]]*amazon_store_sales_2022__1[[#This Row],[Discount]]</f>
        <v>102.50339999999998</v>
      </c>
      <c r="L370" s="13">
        <f>amazon_store_sales_2022__1[[#This Row],[Total ]]-amazon_store_sales_2022__1[[#This Row],[Total Discount]]</f>
        <v>250.95659999999998</v>
      </c>
      <c r="M370">
        <f>YEAR(amazon_store_sales_2022__1[[#This Row],[OrderDate]])</f>
        <v>2023</v>
      </c>
      <c r="N370" t="str" cm="1">
        <f t="array" ref="N370">_xlfn.IFS(L370&lt;500," VeryLow",L370&lt;1000,"Low",L370&lt;2000,"Medium",L370&lt;3000,"High",L370&lt;5000,"VeryHigh")</f>
        <v xml:space="preserve"> VeryLow</v>
      </c>
      <c r="O370" t="str" cm="1">
        <f t="array" ref="O370">_xlfn.IFS(G370&lt;0.09,"Low",G370&lt;0.2,"Medium",G370&lt;0.4,"High")</f>
        <v>High</v>
      </c>
    </row>
    <row r="371" spans="1:15" x14ac:dyDescent="0.3">
      <c r="A371">
        <v>10370</v>
      </c>
      <c r="B371" s="1">
        <v>44931</v>
      </c>
      <c r="C371">
        <v>2093</v>
      </c>
      <c r="D371" t="s">
        <v>16</v>
      </c>
      <c r="E371">
        <v>7</v>
      </c>
      <c r="F371">
        <v>78.75</v>
      </c>
      <c r="G371">
        <v>0.11</v>
      </c>
      <c r="H371" t="s">
        <v>15</v>
      </c>
      <c r="I371" t="s">
        <v>18</v>
      </c>
      <c r="J371">
        <f>amazon_store_sales_2022__1[[#This Row],[UnitPrice]]*amazon_store_sales_2022__1[[#This Row],[Quantity]]</f>
        <v>551.25</v>
      </c>
      <c r="K371">
        <f>amazon_store_sales_2022__1[[#This Row],[Total ]]*amazon_store_sales_2022__1[[#This Row],[Discount]]</f>
        <v>60.637500000000003</v>
      </c>
      <c r="L371" s="13">
        <f>amazon_store_sales_2022__1[[#This Row],[Total ]]-amazon_store_sales_2022__1[[#This Row],[Total Discount]]</f>
        <v>490.61250000000001</v>
      </c>
      <c r="M371">
        <f>YEAR(amazon_store_sales_2022__1[[#This Row],[OrderDate]])</f>
        <v>2023</v>
      </c>
      <c r="N371" t="str" cm="1">
        <f t="array" ref="N371">_xlfn.IFS(L371&lt;500," VeryLow",L371&lt;1000,"Low",L371&lt;2000,"Medium",L371&lt;3000,"High",L371&lt;5000,"VeryHigh")</f>
        <v xml:space="preserve"> VeryLow</v>
      </c>
      <c r="O371" t="str" cm="1">
        <f t="array" ref="O371">_xlfn.IFS(G371&lt;0.09,"Low",G371&lt;0.2,"Medium",G371&lt;0.4,"High")</f>
        <v>Medium</v>
      </c>
    </row>
    <row r="372" spans="1:15" x14ac:dyDescent="0.3">
      <c r="A372">
        <v>10371</v>
      </c>
      <c r="B372" s="1">
        <v>44932</v>
      </c>
      <c r="C372">
        <v>2046</v>
      </c>
      <c r="D372" t="s">
        <v>16</v>
      </c>
      <c r="E372">
        <v>5</v>
      </c>
      <c r="F372">
        <v>265.68</v>
      </c>
      <c r="G372">
        <v>0.13</v>
      </c>
      <c r="H372" t="s">
        <v>15</v>
      </c>
      <c r="I372" t="s">
        <v>18</v>
      </c>
      <c r="J372">
        <f>amazon_store_sales_2022__1[[#This Row],[UnitPrice]]*amazon_store_sales_2022__1[[#This Row],[Quantity]]</f>
        <v>1328.4</v>
      </c>
      <c r="K372">
        <f>amazon_store_sales_2022__1[[#This Row],[Total ]]*amazon_store_sales_2022__1[[#This Row],[Discount]]</f>
        <v>172.69200000000001</v>
      </c>
      <c r="L372" s="13">
        <f>amazon_store_sales_2022__1[[#This Row],[Total ]]-amazon_store_sales_2022__1[[#This Row],[Total Discount]]</f>
        <v>1155.7080000000001</v>
      </c>
      <c r="M372">
        <f>YEAR(amazon_store_sales_2022__1[[#This Row],[OrderDate]])</f>
        <v>2023</v>
      </c>
      <c r="N372" t="str" cm="1">
        <f t="array" ref="N372">_xlfn.IFS(L372&lt;500," VeryLow",L372&lt;1000,"Low",L372&lt;2000,"Medium",L372&lt;3000,"High",L372&lt;5000,"VeryHigh")</f>
        <v>Medium</v>
      </c>
      <c r="O372" t="str" cm="1">
        <f t="array" ref="O372">_xlfn.IFS(G372&lt;0.09,"Low",G372&lt;0.2,"Medium",G372&lt;0.4,"High")</f>
        <v>Medium</v>
      </c>
    </row>
    <row r="373" spans="1:15" x14ac:dyDescent="0.3">
      <c r="A373">
        <v>10372</v>
      </c>
      <c r="B373" s="1">
        <v>44933</v>
      </c>
      <c r="C373">
        <v>2006</v>
      </c>
      <c r="D373" t="s">
        <v>19</v>
      </c>
      <c r="E373">
        <v>7</v>
      </c>
      <c r="F373">
        <v>126.8</v>
      </c>
      <c r="G373">
        <v>0.25</v>
      </c>
      <c r="H373" t="s">
        <v>15</v>
      </c>
      <c r="I373" t="s">
        <v>11</v>
      </c>
      <c r="J373">
        <f>amazon_store_sales_2022__1[[#This Row],[UnitPrice]]*amazon_store_sales_2022__1[[#This Row],[Quantity]]</f>
        <v>887.6</v>
      </c>
      <c r="K373">
        <f>amazon_store_sales_2022__1[[#This Row],[Total ]]*amazon_store_sales_2022__1[[#This Row],[Discount]]</f>
        <v>221.9</v>
      </c>
      <c r="L373" s="13">
        <f>amazon_store_sales_2022__1[[#This Row],[Total ]]-amazon_store_sales_2022__1[[#This Row],[Total Discount]]</f>
        <v>665.7</v>
      </c>
      <c r="M373">
        <f>YEAR(amazon_store_sales_2022__1[[#This Row],[OrderDate]])</f>
        <v>2023</v>
      </c>
      <c r="N373" t="str" cm="1">
        <f t="array" ref="N373">_xlfn.IFS(L373&lt;500," VeryLow",L373&lt;1000,"Low",L373&lt;2000,"Medium",L373&lt;3000,"High",L373&lt;5000,"VeryHigh")</f>
        <v>Low</v>
      </c>
      <c r="O373" t="str" cm="1">
        <f t="array" ref="O373">_xlfn.IFS(G373&lt;0.09,"Low",G373&lt;0.2,"Medium",G373&lt;0.4,"High")</f>
        <v>High</v>
      </c>
    </row>
    <row r="374" spans="1:15" x14ac:dyDescent="0.3">
      <c r="A374">
        <v>10373</v>
      </c>
      <c r="B374" s="1">
        <v>44934</v>
      </c>
      <c r="C374">
        <v>2099</v>
      </c>
      <c r="D374" t="s">
        <v>16</v>
      </c>
      <c r="E374">
        <v>9</v>
      </c>
      <c r="F374">
        <v>240.96</v>
      </c>
      <c r="G374">
        <v>0.08</v>
      </c>
      <c r="H374" t="s">
        <v>17</v>
      </c>
      <c r="I374" t="s">
        <v>18</v>
      </c>
      <c r="J374">
        <f>amazon_store_sales_2022__1[[#This Row],[UnitPrice]]*amazon_store_sales_2022__1[[#This Row],[Quantity]]</f>
        <v>2168.64</v>
      </c>
      <c r="K374">
        <f>amazon_store_sales_2022__1[[#This Row],[Total ]]*amazon_store_sales_2022__1[[#This Row],[Discount]]</f>
        <v>173.49119999999999</v>
      </c>
      <c r="L374" s="13">
        <f>amazon_store_sales_2022__1[[#This Row],[Total ]]-amazon_store_sales_2022__1[[#This Row],[Total Discount]]</f>
        <v>1995.1487999999999</v>
      </c>
      <c r="M374">
        <f>YEAR(amazon_store_sales_2022__1[[#This Row],[OrderDate]])</f>
        <v>2023</v>
      </c>
      <c r="N374" t="str" cm="1">
        <f t="array" ref="N374">_xlfn.IFS(L374&lt;500," VeryLow",L374&lt;1000,"Low",L374&lt;2000,"Medium",L374&lt;3000,"High",L374&lt;5000,"VeryHigh")</f>
        <v>Medium</v>
      </c>
      <c r="O374" t="str" cm="1">
        <f t="array" ref="O374">_xlfn.IFS(G374&lt;0.09,"Low",G374&lt;0.2,"Medium",G374&lt;0.4,"High")</f>
        <v>Low</v>
      </c>
    </row>
    <row r="375" spans="1:15" x14ac:dyDescent="0.3">
      <c r="A375">
        <v>10374</v>
      </c>
      <c r="B375" s="1">
        <v>44935</v>
      </c>
      <c r="C375">
        <v>2037</v>
      </c>
      <c r="D375" t="s">
        <v>19</v>
      </c>
      <c r="E375">
        <v>3</v>
      </c>
      <c r="F375">
        <v>200.21</v>
      </c>
      <c r="G375">
        <v>0.05</v>
      </c>
      <c r="H375" t="s">
        <v>15</v>
      </c>
      <c r="I375" t="s">
        <v>11</v>
      </c>
      <c r="J375">
        <f>amazon_store_sales_2022__1[[#This Row],[UnitPrice]]*amazon_store_sales_2022__1[[#This Row],[Quantity]]</f>
        <v>600.63</v>
      </c>
      <c r="K375">
        <f>amazon_store_sales_2022__1[[#This Row],[Total ]]*amazon_store_sales_2022__1[[#This Row],[Discount]]</f>
        <v>30.031500000000001</v>
      </c>
      <c r="L375" s="13">
        <f>amazon_store_sales_2022__1[[#This Row],[Total ]]-amazon_store_sales_2022__1[[#This Row],[Total Discount]]</f>
        <v>570.59849999999994</v>
      </c>
      <c r="M375">
        <f>YEAR(amazon_store_sales_2022__1[[#This Row],[OrderDate]])</f>
        <v>2023</v>
      </c>
      <c r="N375" t="str" cm="1">
        <f t="array" ref="N375">_xlfn.IFS(L375&lt;500," VeryLow",L375&lt;1000,"Low",L375&lt;2000,"Medium",L375&lt;3000,"High",L375&lt;5000,"VeryHigh")</f>
        <v>Low</v>
      </c>
      <c r="O375" t="str" cm="1">
        <f t="array" ref="O375">_xlfn.IFS(G375&lt;0.09,"Low",G375&lt;0.2,"Medium",G375&lt;0.4,"High")</f>
        <v>Low</v>
      </c>
    </row>
    <row r="376" spans="1:15" x14ac:dyDescent="0.3">
      <c r="A376">
        <v>10375</v>
      </c>
      <c r="B376" s="1">
        <v>44936</v>
      </c>
      <c r="C376">
        <v>2024</v>
      </c>
      <c r="D376" t="s">
        <v>9</v>
      </c>
      <c r="E376">
        <v>8</v>
      </c>
      <c r="F376">
        <v>276.95999999999998</v>
      </c>
      <c r="G376">
        <v>0.26</v>
      </c>
      <c r="H376" t="s">
        <v>13</v>
      </c>
      <c r="I376" t="s">
        <v>18</v>
      </c>
      <c r="J376">
        <f>amazon_store_sales_2022__1[[#This Row],[UnitPrice]]*amazon_store_sales_2022__1[[#This Row],[Quantity]]</f>
        <v>2215.6799999999998</v>
      </c>
      <c r="K376">
        <f>amazon_store_sales_2022__1[[#This Row],[Total ]]*amazon_store_sales_2022__1[[#This Row],[Discount]]</f>
        <v>576.07679999999993</v>
      </c>
      <c r="L376" s="13">
        <f>amazon_store_sales_2022__1[[#This Row],[Total ]]-amazon_store_sales_2022__1[[#This Row],[Total Discount]]</f>
        <v>1639.6032</v>
      </c>
      <c r="M376">
        <f>YEAR(amazon_store_sales_2022__1[[#This Row],[OrderDate]])</f>
        <v>2023</v>
      </c>
      <c r="N376" t="str" cm="1">
        <f t="array" ref="N376">_xlfn.IFS(L376&lt;500," VeryLow",L376&lt;1000,"Low",L376&lt;2000,"Medium",L376&lt;3000,"High",L376&lt;5000,"VeryHigh")</f>
        <v>Medium</v>
      </c>
      <c r="O376" t="str" cm="1">
        <f t="array" ref="O376">_xlfn.IFS(G376&lt;0.09,"Low",G376&lt;0.2,"Medium",G376&lt;0.4,"High")</f>
        <v>High</v>
      </c>
    </row>
    <row r="377" spans="1:15" x14ac:dyDescent="0.3">
      <c r="A377">
        <v>10376</v>
      </c>
      <c r="B377" s="1">
        <v>44937</v>
      </c>
      <c r="C377">
        <v>2093</v>
      </c>
      <c r="D377" t="s">
        <v>12</v>
      </c>
      <c r="E377">
        <v>2</v>
      </c>
      <c r="F377">
        <v>374.7</v>
      </c>
      <c r="G377">
        <v>0.01</v>
      </c>
      <c r="H377" t="s">
        <v>10</v>
      </c>
      <c r="I377" t="s">
        <v>11</v>
      </c>
      <c r="J377">
        <f>amazon_store_sales_2022__1[[#This Row],[UnitPrice]]*amazon_store_sales_2022__1[[#This Row],[Quantity]]</f>
        <v>749.4</v>
      </c>
      <c r="K377">
        <f>amazon_store_sales_2022__1[[#This Row],[Total ]]*amazon_store_sales_2022__1[[#This Row],[Discount]]</f>
        <v>7.4939999999999998</v>
      </c>
      <c r="L377" s="13">
        <f>amazon_store_sales_2022__1[[#This Row],[Total ]]-amazon_store_sales_2022__1[[#This Row],[Total Discount]]</f>
        <v>741.90599999999995</v>
      </c>
      <c r="M377">
        <f>YEAR(amazon_store_sales_2022__1[[#This Row],[OrderDate]])</f>
        <v>2023</v>
      </c>
      <c r="N377" t="str" cm="1">
        <f t="array" ref="N377">_xlfn.IFS(L377&lt;500," VeryLow",L377&lt;1000,"Low",L377&lt;2000,"Medium",L377&lt;3000,"High",L377&lt;5000,"VeryHigh")</f>
        <v>Low</v>
      </c>
      <c r="O377" t="str" cm="1">
        <f t="array" ref="O377">_xlfn.IFS(G377&lt;0.09,"Low",G377&lt;0.2,"Medium",G377&lt;0.4,"High")</f>
        <v>Low</v>
      </c>
    </row>
    <row r="378" spans="1:15" x14ac:dyDescent="0.3">
      <c r="A378">
        <v>10377</v>
      </c>
      <c r="B378" s="1">
        <v>44938</v>
      </c>
      <c r="C378">
        <v>2046</v>
      </c>
      <c r="D378" t="s">
        <v>12</v>
      </c>
      <c r="E378">
        <v>7</v>
      </c>
      <c r="F378">
        <v>359.17</v>
      </c>
      <c r="G378">
        <v>0.19</v>
      </c>
      <c r="H378" t="s">
        <v>10</v>
      </c>
      <c r="I378" t="s">
        <v>18</v>
      </c>
      <c r="J378">
        <f>amazon_store_sales_2022__1[[#This Row],[UnitPrice]]*amazon_store_sales_2022__1[[#This Row],[Quantity]]</f>
        <v>2514.19</v>
      </c>
      <c r="K378">
        <f>amazon_store_sales_2022__1[[#This Row],[Total ]]*amazon_store_sales_2022__1[[#This Row],[Discount]]</f>
        <v>477.6961</v>
      </c>
      <c r="L378" s="13">
        <f>amazon_store_sales_2022__1[[#This Row],[Total ]]-amazon_store_sales_2022__1[[#This Row],[Total Discount]]</f>
        <v>2036.4938999999999</v>
      </c>
      <c r="M378">
        <f>YEAR(amazon_store_sales_2022__1[[#This Row],[OrderDate]])</f>
        <v>2023</v>
      </c>
      <c r="N378" t="str" cm="1">
        <f t="array" ref="N378">_xlfn.IFS(L378&lt;500," VeryLow",L378&lt;1000,"Low",L378&lt;2000,"Medium",L378&lt;3000,"High",L378&lt;5000,"VeryHigh")</f>
        <v>High</v>
      </c>
      <c r="O378" t="str" cm="1">
        <f t="array" ref="O378">_xlfn.IFS(G378&lt;0.09,"Low",G378&lt;0.2,"Medium",G378&lt;0.4,"High")</f>
        <v>Medium</v>
      </c>
    </row>
    <row r="379" spans="1:15" x14ac:dyDescent="0.3">
      <c r="A379">
        <v>10378</v>
      </c>
      <c r="B379" s="1">
        <v>44939</v>
      </c>
      <c r="C379">
        <v>2053</v>
      </c>
      <c r="D379" t="s">
        <v>19</v>
      </c>
      <c r="E379">
        <v>2</v>
      </c>
      <c r="F379">
        <v>263.01</v>
      </c>
      <c r="G379">
        <v>0.17</v>
      </c>
      <c r="H379" t="s">
        <v>20</v>
      </c>
      <c r="I379" t="s">
        <v>18</v>
      </c>
      <c r="J379">
        <f>amazon_store_sales_2022__1[[#This Row],[UnitPrice]]*amazon_store_sales_2022__1[[#This Row],[Quantity]]</f>
        <v>526.02</v>
      </c>
      <c r="K379">
        <f>amazon_store_sales_2022__1[[#This Row],[Total ]]*amazon_store_sales_2022__1[[#This Row],[Discount]]</f>
        <v>89.423400000000001</v>
      </c>
      <c r="L379" s="13">
        <f>amazon_store_sales_2022__1[[#This Row],[Total ]]-amazon_store_sales_2022__1[[#This Row],[Total Discount]]</f>
        <v>436.59659999999997</v>
      </c>
      <c r="M379">
        <f>YEAR(amazon_store_sales_2022__1[[#This Row],[OrderDate]])</f>
        <v>2023</v>
      </c>
      <c r="N379" t="str" cm="1">
        <f t="array" ref="N379">_xlfn.IFS(L379&lt;500," VeryLow",L379&lt;1000,"Low",L379&lt;2000,"Medium",L379&lt;3000,"High",L379&lt;5000,"VeryHigh")</f>
        <v xml:space="preserve"> VeryLow</v>
      </c>
      <c r="O379" t="str" cm="1">
        <f t="array" ref="O379">_xlfn.IFS(G379&lt;0.09,"Low",G379&lt;0.2,"Medium",G379&lt;0.4,"High")</f>
        <v>Medium</v>
      </c>
    </row>
    <row r="380" spans="1:15" x14ac:dyDescent="0.3">
      <c r="A380">
        <v>10379</v>
      </c>
      <c r="B380" s="1">
        <v>44940</v>
      </c>
      <c r="C380">
        <v>2095</v>
      </c>
      <c r="D380" t="s">
        <v>12</v>
      </c>
      <c r="E380">
        <v>4</v>
      </c>
      <c r="F380">
        <v>412.08</v>
      </c>
      <c r="G380">
        <v>0.1</v>
      </c>
      <c r="H380" t="s">
        <v>20</v>
      </c>
      <c r="I380" t="s">
        <v>11</v>
      </c>
      <c r="J380">
        <f>amazon_store_sales_2022__1[[#This Row],[UnitPrice]]*amazon_store_sales_2022__1[[#This Row],[Quantity]]</f>
        <v>1648.32</v>
      </c>
      <c r="K380">
        <f>amazon_store_sales_2022__1[[#This Row],[Total ]]*amazon_store_sales_2022__1[[#This Row],[Discount]]</f>
        <v>164.83199999999999</v>
      </c>
      <c r="L380" s="13">
        <f>amazon_store_sales_2022__1[[#This Row],[Total ]]-amazon_store_sales_2022__1[[#This Row],[Total Discount]]</f>
        <v>1483.4879999999998</v>
      </c>
      <c r="M380">
        <f>YEAR(amazon_store_sales_2022__1[[#This Row],[OrderDate]])</f>
        <v>2023</v>
      </c>
      <c r="N380" t="str" cm="1">
        <f t="array" ref="N380">_xlfn.IFS(L380&lt;500," VeryLow",L380&lt;1000,"Low",L380&lt;2000,"Medium",L380&lt;3000,"High",L380&lt;5000,"VeryHigh")</f>
        <v>Medium</v>
      </c>
      <c r="O380" t="str" cm="1">
        <f t="array" ref="O380">_xlfn.IFS(G380&lt;0.09,"Low",G380&lt;0.2,"Medium",G380&lt;0.4,"High")</f>
        <v>Medium</v>
      </c>
    </row>
    <row r="381" spans="1:15" x14ac:dyDescent="0.3">
      <c r="A381">
        <v>10380</v>
      </c>
      <c r="B381" s="1">
        <v>44941</v>
      </c>
      <c r="C381">
        <v>2099</v>
      </c>
      <c r="D381" t="s">
        <v>16</v>
      </c>
      <c r="E381">
        <v>7</v>
      </c>
      <c r="F381">
        <v>218.28</v>
      </c>
      <c r="G381">
        <v>0.09</v>
      </c>
      <c r="H381" t="s">
        <v>10</v>
      </c>
      <c r="I381" t="s">
        <v>18</v>
      </c>
      <c r="J381">
        <f>amazon_store_sales_2022__1[[#This Row],[UnitPrice]]*amazon_store_sales_2022__1[[#This Row],[Quantity]]</f>
        <v>1527.96</v>
      </c>
      <c r="K381">
        <f>amazon_store_sales_2022__1[[#This Row],[Total ]]*amazon_store_sales_2022__1[[#This Row],[Discount]]</f>
        <v>137.5164</v>
      </c>
      <c r="L381" s="13">
        <f>amazon_store_sales_2022__1[[#This Row],[Total ]]-amazon_store_sales_2022__1[[#This Row],[Total Discount]]</f>
        <v>1390.4436000000001</v>
      </c>
      <c r="M381">
        <f>YEAR(amazon_store_sales_2022__1[[#This Row],[OrderDate]])</f>
        <v>2023</v>
      </c>
      <c r="N381" t="str" cm="1">
        <f t="array" ref="N381">_xlfn.IFS(L381&lt;500," VeryLow",L381&lt;1000,"Low",L381&lt;2000,"Medium",L381&lt;3000,"High",L381&lt;5000,"VeryHigh")</f>
        <v>Medium</v>
      </c>
      <c r="O381" t="str" cm="1">
        <f t="array" ref="O381">_xlfn.IFS(G381&lt;0.09,"Low",G381&lt;0.2,"Medium",G381&lt;0.4,"High")</f>
        <v>Medium</v>
      </c>
    </row>
    <row r="382" spans="1:15" x14ac:dyDescent="0.3">
      <c r="A382">
        <v>10381</v>
      </c>
      <c r="B382" s="1">
        <v>44942</v>
      </c>
      <c r="C382">
        <v>2060</v>
      </c>
      <c r="D382" t="s">
        <v>14</v>
      </c>
      <c r="E382">
        <v>3</v>
      </c>
      <c r="F382">
        <v>448.87</v>
      </c>
      <c r="G382">
        <v>0.23</v>
      </c>
      <c r="H382" t="s">
        <v>13</v>
      </c>
      <c r="I382" t="s">
        <v>18</v>
      </c>
      <c r="J382">
        <f>amazon_store_sales_2022__1[[#This Row],[UnitPrice]]*amazon_store_sales_2022__1[[#This Row],[Quantity]]</f>
        <v>1346.6100000000001</v>
      </c>
      <c r="K382">
        <f>amazon_store_sales_2022__1[[#This Row],[Total ]]*amazon_store_sales_2022__1[[#This Row],[Discount]]</f>
        <v>309.72030000000007</v>
      </c>
      <c r="L382" s="13">
        <f>amazon_store_sales_2022__1[[#This Row],[Total ]]-amazon_store_sales_2022__1[[#This Row],[Total Discount]]</f>
        <v>1036.8897000000002</v>
      </c>
      <c r="M382">
        <f>YEAR(amazon_store_sales_2022__1[[#This Row],[OrderDate]])</f>
        <v>2023</v>
      </c>
      <c r="N382" t="str" cm="1">
        <f t="array" ref="N382">_xlfn.IFS(L382&lt;500," VeryLow",L382&lt;1000,"Low",L382&lt;2000,"Medium",L382&lt;3000,"High",L382&lt;5000,"VeryHigh")</f>
        <v>Medium</v>
      </c>
      <c r="O382" t="str" cm="1">
        <f t="array" ref="O382">_xlfn.IFS(G382&lt;0.09,"Low",G382&lt;0.2,"Medium",G382&lt;0.4,"High")</f>
        <v>High</v>
      </c>
    </row>
    <row r="383" spans="1:15" x14ac:dyDescent="0.3">
      <c r="A383">
        <v>10382</v>
      </c>
      <c r="B383" s="1">
        <v>44943</v>
      </c>
      <c r="C383">
        <v>2097</v>
      </c>
      <c r="D383" t="s">
        <v>19</v>
      </c>
      <c r="E383">
        <v>2</v>
      </c>
      <c r="F383">
        <v>40.28</v>
      </c>
      <c r="G383">
        <v>0.03</v>
      </c>
      <c r="H383" t="s">
        <v>17</v>
      </c>
      <c r="I383" t="s">
        <v>18</v>
      </c>
      <c r="J383">
        <f>amazon_store_sales_2022__1[[#This Row],[UnitPrice]]*amazon_store_sales_2022__1[[#This Row],[Quantity]]</f>
        <v>80.56</v>
      </c>
      <c r="K383">
        <f>amazon_store_sales_2022__1[[#This Row],[Total ]]*amazon_store_sales_2022__1[[#This Row],[Discount]]</f>
        <v>2.4167999999999998</v>
      </c>
      <c r="L383" s="13">
        <f>amazon_store_sales_2022__1[[#This Row],[Total ]]-amazon_store_sales_2022__1[[#This Row],[Total Discount]]</f>
        <v>78.143200000000007</v>
      </c>
      <c r="M383">
        <f>YEAR(amazon_store_sales_2022__1[[#This Row],[OrderDate]])</f>
        <v>2023</v>
      </c>
      <c r="N383" t="str" cm="1">
        <f t="array" ref="N383">_xlfn.IFS(L383&lt;500," VeryLow",L383&lt;1000,"Low",L383&lt;2000,"Medium",L383&lt;3000,"High",L383&lt;5000,"VeryHigh")</f>
        <v xml:space="preserve"> VeryLow</v>
      </c>
      <c r="O383" t="str" cm="1">
        <f t="array" ref="O383">_xlfn.IFS(G383&lt;0.09,"Low",G383&lt;0.2,"Medium",G383&lt;0.4,"High")</f>
        <v>Low</v>
      </c>
    </row>
    <row r="384" spans="1:15" x14ac:dyDescent="0.3">
      <c r="A384">
        <v>10383</v>
      </c>
      <c r="B384" s="1">
        <v>44944</v>
      </c>
      <c r="C384">
        <v>2063</v>
      </c>
      <c r="D384" t="s">
        <v>12</v>
      </c>
      <c r="E384">
        <v>7</v>
      </c>
      <c r="F384">
        <v>477.56</v>
      </c>
      <c r="G384">
        <v>7.0000000000000007E-2</v>
      </c>
      <c r="H384" t="s">
        <v>17</v>
      </c>
      <c r="I384" t="s">
        <v>18</v>
      </c>
      <c r="J384">
        <f>amazon_store_sales_2022__1[[#This Row],[UnitPrice]]*amazon_store_sales_2022__1[[#This Row],[Quantity]]</f>
        <v>3342.92</v>
      </c>
      <c r="K384">
        <f>amazon_store_sales_2022__1[[#This Row],[Total ]]*amazon_store_sales_2022__1[[#This Row],[Discount]]</f>
        <v>234.00440000000003</v>
      </c>
      <c r="L384" s="13">
        <f>amazon_store_sales_2022__1[[#This Row],[Total ]]-amazon_store_sales_2022__1[[#This Row],[Total Discount]]</f>
        <v>3108.9156000000003</v>
      </c>
      <c r="M384">
        <f>YEAR(amazon_store_sales_2022__1[[#This Row],[OrderDate]])</f>
        <v>2023</v>
      </c>
      <c r="N384" t="str" cm="1">
        <f t="array" ref="N384">_xlfn.IFS(L384&lt;500," VeryLow",L384&lt;1000,"Low",L384&lt;2000,"Medium",L384&lt;3000,"High",L384&lt;5000,"VeryHigh")</f>
        <v>VeryHigh</v>
      </c>
      <c r="O384" t="str" cm="1">
        <f t="array" ref="O384">_xlfn.IFS(G384&lt;0.09,"Low",G384&lt;0.2,"Medium",G384&lt;0.4,"High")</f>
        <v>Low</v>
      </c>
    </row>
    <row r="385" spans="1:15" x14ac:dyDescent="0.3">
      <c r="A385">
        <v>10384</v>
      </c>
      <c r="B385" s="1">
        <v>44945</v>
      </c>
      <c r="C385">
        <v>2085</v>
      </c>
      <c r="D385" t="s">
        <v>19</v>
      </c>
      <c r="E385">
        <v>1</v>
      </c>
      <c r="F385">
        <v>329.07</v>
      </c>
      <c r="G385">
        <v>0.22</v>
      </c>
      <c r="H385" t="s">
        <v>13</v>
      </c>
      <c r="I385" t="s">
        <v>18</v>
      </c>
      <c r="J385">
        <f>amazon_store_sales_2022__1[[#This Row],[UnitPrice]]*amazon_store_sales_2022__1[[#This Row],[Quantity]]</f>
        <v>329.07</v>
      </c>
      <c r="K385">
        <f>amazon_store_sales_2022__1[[#This Row],[Total ]]*amazon_store_sales_2022__1[[#This Row],[Discount]]</f>
        <v>72.395399999999995</v>
      </c>
      <c r="L385" s="13">
        <f>amazon_store_sales_2022__1[[#This Row],[Total ]]-amazon_store_sales_2022__1[[#This Row],[Total Discount]]</f>
        <v>256.6746</v>
      </c>
      <c r="M385">
        <f>YEAR(amazon_store_sales_2022__1[[#This Row],[OrderDate]])</f>
        <v>2023</v>
      </c>
      <c r="N385" t="str" cm="1">
        <f t="array" ref="N385">_xlfn.IFS(L385&lt;500," VeryLow",L385&lt;1000,"Low",L385&lt;2000,"Medium",L385&lt;3000,"High",L385&lt;5000,"VeryHigh")</f>
        <v xml:space="preserve"> VeryLow</v>
      </c>
      <c r="O385" t="str" cm="1">
        <f t="array" ref="O385">_xlfn.IFS(G385&lt;0.09,"Low",G385&lt;0.2,"Medium",G385&lt;0.4,"High")</f>
        <v>High</v>
      </c>
    </row>
    <row r="386" spans="1:15" x14ac:dyDescent="0.3">
      <c r="A386">
        <v>10385</v>
      </c>
      <c r="B386" s="1">
        <v>44946</v>
      </c>
      <c r="C386">
        <v>2032</v>
      </c>
      <c r="D386" t="s">
        <v>19</v>
      </c>
      <c r="E386">
        <v>8</v>
      </c>
      <c r="F386">
        <v>193.14</v>
      </c>
      <c r="G386">
        <v>0.16</v>
      </c>
      <c r="H386" t="s">
        <v>17</v>
      </c>
      <c r="I386" t="s">
        <v>18</v>
      </c>
      <c r="J386">
        <f>amazon_store_sales_2022__1[[#This Row],[UnitPrice]]*amazon_store_sales_2022__1[[#This Row],[Quantity]]</f>
        <v>1545.12</v>
      </c>
      <c r="K386">
        <f>amazon_store_sales_2022__1[[#This Row],[Total ]]*amazon_store_sales_2022__1[[#This Row],[Discount]]</f>
        <v>247.2192</v>
      </c>
      <c r="L386" s="13">
        <f>amazon_store_sales_2022__1[[#This Row],[Total ]]-amazon_store_sales_2022__1[[#This Row],[Total Discount]]</f>
        <v>1297.9007999999999</v>
      </c>
      <c r="M386">
        <f>YEAR(amazon_store_sales_2022__1[[#This Row],[OrderDate]])</f>
        <v>2023</v>
      </c>
      <c r="N386" t="str" cm="1">
        <f t="array" ref="N386">_xlfn.IFS(L386&lt;500," VeryLow",L386&lt;1000,"Low",L386&lt;2000,"Medium",L386&lt;3000,"High",L386&lt;5000,"VeryHigh")</f>
        <v>Medium</v>
      </c>
      <c r="O386" t="str" cm="1">
        <f t="array" ref="O386">_xlfn.IFS(G386&lt;0.09,"Low",G386&lt;0.2,"Medium",G386&lt;0.4,"High")</f>
        <v>Medium</v>
      </c>
    </row>
    <row r="387" spans="1:15" x14ac:dyDescent="0.3">
      <c r="A387">
        <v>10386</v>
      </c>
      <c r="B387" s="1">
        <v>44947</v>
      </c>
      <c r="C387">
        <v>2087</v>
      </c>
      <c r="D387" t="s">
        <v>14</v>
      </c>
      <c r="E387">
        <v>3</v>
      </c>
      <c r="F387">
        <v>102.59</v>
      </c>
      <c r="G387">
        <v>0.04</v>
      </c>
      <c r="H387" t="s">
        <v>15</v>
      </c>
      <c r="I387" t="s">
        <v>11</v>
      </c>
      <c r="J387">
        <f>amazon_store_sales_2022__1[[#This Row],[UnitPrice]]*amazon_store_sales_2022__1[[#This Row],[Quantity]]</f>
        <v>307.77</v>
      </c>
      <c r="K387">
        <f>amazon_store_sales_2022__1[[#This Row],[Total ]]*amazon_store_sales_2022__1[[#This Row],[Discount]]</f>
        <v>12.3108</v>
      </c>
      <c r="L387" s="13">
        <f>amazon_store_sales_2022__1[[#This Row],[Total ]]-amazon_store_sales_2022__1[[#This Row],[Total Discount]]</f>
        <v>295.45920000000001</v>
      </c>
      <c r="M387">
        <f>YEAR(amazon_store_sales_2022__1[[#This Row],[OrderDate]])</f>
        <v>2023</v>
      </c>
      <c r="N387" t="str" cm="1">
        <f t="array" ref="N387">_xlfn.IFS(L387&lt;500," VeryLow",L387&lt;1000,"Low",L387&lt;2000,"Medium",L387&lt;3000,"High",L387&lt;5000,"VeryHigh")</f>
        <v xml:space="preserve"> VeryLow</v>
      </c>
      <c r="O387" t="str" cm="1">
        <f t="array" ref="O387">_xlfn.IFS(G387&lt;0.09,"Low",G387&lt;0.2,"Medium",G387&lt;0.4,"High")</f>
        <v>Low</v>
      </c>
    </row>
    <row r="388" spans="1:15" x14ac:dyDescent="0.3">
      <c r="A388">
        <v>10387</v>
      </c>
      <c r="B388" s="1">
        <v>44948</v>
      </c>
      <c r="C388">
        <v>2033</v>
      </c>
      <c r="D388" t="s">
        <v>16</v>
      </c>
      <c r="E388">
        <v>2</v>
      </c>
      <c r="F388">
        <v>242.2</v>
      </c>
      <c r="G388">
        <v>0.26</v>
      </c>
      <c r="H388" t="s">
        <v>10</v>
      </c>
      <c r="I388" t="s">
        <v>11</v>
      </c>
      <c r="J388">
        <f>amazon_store_sales_2022__1[[#This Row],[UnitPrice]]*amazon_store_sales_2022__1[[#This Row],[Quantity]]</f>
        <v>484.4</v>
      </c>
      <c r="K388">
        <f>amazon_store_sales_2022__1[[#This Row],[Total ]]*amazon_store_sales_2022__1[[#This Row],[Discount]]</f>
        <v>125.944</v>
      </c>
      <c r="L388" s="13">
        <f>amazon_store_sales_2022__1[[#This Row],[Total ]]-amazon_store_sales_2022__1[[#This Row],[Total Discount]]</f>
        <v>358.45599999999996</v>
      </c>
      <c r="M388">
        <f>YEAR(amazon_store_sales_2022__1[[#This Row],[OrderDate]])</f>
        <v>2023</v>
      </c>
      <c r="N388" t="str" cm="1">
        <f t="array" ref="N388">_xlfn.IFS(L388&lt;500," VeryLow",L388&lt;1000,"Low",L388&lt;2000,"Medium",L388&lt;3000,"High",L388&lt;5000,"VeryHigh")</f>
        <v xml:space="preserve"> VeryLow</v>
      </c>
      <c r="O388" t="str" cm="1">
        <f t="array" ref="O388">_xlfn.IFS(G388&lt;0.09,"Low",G388&lt;0.2,"Medium",G388&lt;0.4,"High")</f>
        <v>High</v>
      </c>
    </row>
    <row r="389" spans="1:15" x14ac:dyDescent="0.3">
      <c r="A389">
        <v>10388</v>
      </c>
      <c r="B389" s="1">
        <v>44949</v>
      </c>
      <c r="C389">
        <v>2067</v>
      </c>
      <c r="D389" t="s">
        <v>19</v>
      </c>
      <c r="E389">
        <v>3</v>
      </c>
      <c r="F389">
        <v>101.31</v>
      </c>
      <c r="G389">
        <v>0.12</v>
      </c>
      <c r="H389" t="s">
        <v>10</v>
      </c>
      <c r="I389" t="s">
        <v>11</v>
      </c>
      <c r="J389">
        <f>amazon_store_sales_2022__1[[#This Row],[UnitPrice]]*amazon_store_sales_2022__1[[#This Row],[Quantity]]</f>
        <v>303.93</v>
      </c>
      <c r="K389">
        <f>amazon_store_sales_2022__1[[#This Row],[Total ]]*amazon_store_sales_2022__1[[#This Row],[Discount]]</f>
        <v>36.471600000000002</v>
      </c>
      <c r="L389" s="13">
        <f>amazon_store_sales_2022__1[[#This Row],[Total ]]-amazon_store_sales_2022__1[[#This Row],[Total Discount]]</f>
        <v>267.45839999999998</v>
      </c>
      <c r="M389">
        <f>YEAR(amazon_store_sales_2022__1[[#This Row],[OrderDate]])</f>
        <v>2023</v>
      </c>
      <c r="N389" t="str" cm="1">
        <f t="array" ref="N389">_xlfn.IFS(L389&lt;500," VeryLow",L389&lt;1000,"Low",L389&lt;2000,"Medium",L389&lt;3000,"High",L389&lt;5000,"VeryHigh")</f>
        <v xml:space="preserve"> VeryLow</v>
      </c>
      <c r="O389" t="str" cm="1">
        <f t="array" ref="O389">_xlfn.IFS(G389&lt;0.09,"Low",G389&lt;0.2,"Medium",G389&lt;0.4,"High")</f>
        <v>Medium</v>
      </c>
    </row>
    <row r="390" spans="1:15" x14ac:dyDescent="0.3">
      <c r="A390">
        <v>10389</v>
      </c>
      <c r="B390" s="1">
        <v>44950</v>
      </c>
      <c r="C390">
        <v>2018</v>
      </c>
      <c r="D390" t="s">
        <v>12</v>
      </c>
      <c r="E390">
        <v>5</v>
      </c>
      <c r="F390">
        <v>87.33</v>
      </c>
      <c r="G390">
        <v>0.25</v>
      </c>
      <c r="H390" t="s">
        <v>13</v>
      </c>
      <c r="I390" t="s">
        <v>18</v>
      </c>
      <c r="J390">
        <f>amazon_store_sales_2022__1[[#This Row],[UnitPrice]]*amazon_store_sales_2022__1[[#This Row],[Quantity]]</f>
        <v>436.65</v>
      </c>
      <c r="K390">
        <f>amazon_store_sales_2022__1[[#This Row],[Total ]]*amazon_store_sales_2022__1[[#This Row],[Discount]]</f>
        <v>109.16249999999999</v>
      </c>
      <c r="L390" s="13">
        <f>amazon_store_sales_2022__1[[#This Row],[Total ]]-amazon_store_sales_2022__1[[#This Row],[Total Discount]]</f>
        <v>327.48749999999995</v>
      </c>
      <c r="M390">
        <f>YEAR(amazon_store_sales_2022__1[[#This Row],[OrderDate]])</f>
        <v>2023</v>
      </c>
      <c r="N390" t="str" cm="1">
        <f t="array" ref="N390">_xlfn.IFS(L390&lt;500," VeryLow",L390&lt;1000,"Low",L390&lt;2000,"Medium",L390&lt;3000,"High",L390&lt;5000,"VeryHigh")</f>
        <v xml:space="preserve"> VeryLow</v>
      </c>
      <c r="O390" t="str" cm="1">
        <f t="array" ref="O390">_xlfn.IFS(G390&lt;0.09,"Low",G390&lt;0.2,"Medium",G390&lt;0.4,"High")</f>
        <v>High</v>
      </c>
    </row>
    <row r="391" spans="1:15" x14ac:dyDescent="0.3">
      <c r="A391">
        <v>10390</v>
      </c>
      <c r="B391" s="1">
        <v>44951</v>
      </c>
      <c r="C391">
        <v>2025</v>
      </c>
      <c r="D391" t="s">
        <v>9</v>
      </c>
      <c r="E391">
        <v>8</v>
      </c>
      <c r="F391">
        <v>310.58999999999997</v>
      </c>
      <c r="G391">
        <v>0.24</v>
      </c>
      <c r="H391" t="s">
        <v>17</v>
      </c>
      <c r="I391" t="s">
        <v>11</v>
      </c>
      <c r="J391">
        <f>amazon_store_sales_2022__1[[#This Row],[UnitPrice]]*amazon_store_sales_2022__1[[#This Row],[Quantity]]</f>
        <v>2484.7199999999998</v>
      </c>
      <c r="K391">
        <f>amazon_store_sales_2022__1[[#This Row],[Total ]]*amazon_store_sales_2022__1[[#This Row],[Discount]]</f>
        <v>596.33279999999991</v>
      </c>
      <c r="L391" s="13">
        <f>amazon_store_sales_2022__1[[#This Row],[Total ]]-amazon_store_sales_2022__1[[#This Row],[Total Discount]]</f>
        <v>1888.3871999999999</v>
      </c>
      <c r="M391">
        <f>YEAR(amazon_store_sales_2022__1[[#This Row],[OrderDate]])</f>
        <v>2023</v>
      </c>
      <c r="N391" t="str" cm="1">
        <f t="array" ref="N391">_xlfn.IFS(L391&lt;500," VeryLow",L391&lt;1000,"Low",L391&lt;2000,"Medium",L391&lt;3000,"High",L391&lt;5000,"VeryHigh")</f>
        <v>Medium</v>
      </c>
      <c r="O391" t="str" cm="1">
        <f t="array" ref="O391">_xlfn.IFS(G391&lt;0.09,"Low",G391&lt;0.2,"Medium",G391&lt;0.4,"High")</f>
        <v>High</v>
      </c>
    </row>
    <row r="392" spans="1:15" x14ac:dyDescent="0.3">
      <c r="A392">
        <v>10391</v>
      </c>
      <c r="B392" s="1">
        <v>44952</v>
      </c>
      <c r="C392">
        <v>2095</v>
      </c>
      <c r="D392" t="s">
        <v>19</v>
      </c>
      <c r="E392">
        <v>7</v>
      </c>
      <c r="F392">
        <v>263.93</v>
      </c>
      <c r="G392">
        <v>0.19</v>
      </c>
      <c r="H392" t="s">
        <v>20</v>
      </c>
      <c r="I392" t="s">
        <v>18</v>
      </c>
      <c r="J392">
        <f>amazon_store_sales_2022__1[[#This Row],[UnitPrice]]*amazon_store_sales_2022__1[[#This Row],[Quantity]]</f>
        <v>1847.51</v>
      </c>
      <c r="K392">
        <f>amazon_store_sales_2022__1[[#This Row],[Total ]]*amazon_store_sales_2022__1[[#This Row],[Discount]]</f>
        <v>351.02690000000001</v>
      </c>
      <c r="L392" s="13">
        <f>amazon_store_sales_2022__1[[#This Row],[Total ]]-amazon_store_sales_2022__1[[#This Row],[Total Discount]]</f>
        <v>1496.4830999999999</v>
      </c>
      <c r="M392">
        <f>YEAR(amazon_store_sales_2022__1[[#This Row],[OrderDate]])</f>
        <v>2023</v>
      </c>
      <c r="N392" t="str" cm="1">
        <f t="array" ref="N392">_xlfn.IFS(L392&lt;500," VeryLow",L392&lt;1000,"Low",L392&lt;2000,"Medium",L392&lt;3000,"High",L392&lt;5000,"VeryHigh")</f>
        <v>Medium</v>
      </c>
      <c r="O392" t="str" cm="1">
        <f t="array" ref="O392">_xlfn.IFS(G392&lt;0.09,"Low",G392&lt;0.2,"Medium",G392&lt;0.4,"High")</f>
        <v>Medium</v>
      </c>
    </row>
    <row r="393" spans="1:15" x14ac:dyDescent="0.3">
      <c r="A393">
        <v>10392</v>
      </c>
      <c r="B393" s="1">
        <v>44953</v>
      </c>
      <c r="C393">
        <v>2054</v>
      </c>
      <c r="D393" t="s">
        <v>19</v>
      </c>
      <c r="E393">
        <v>7</v>
      </c>
      <c r="F393">
        <v>336.7</v>
      </c>
      <c r="G393">
        <v>0.15</v>
      </c>
      <c r="H393" t="s">
        <v>20</v>
      </c>
      <c r="I393" t="s">
        <v>18</v>
      </c>
      <c r="J393">
        <f>amazon_store_sales_2022__1[[#This Row],[UnitPrice]]*amazon_store_sales_2022__1[[#This Row],[Quantity]]</f>
        <v>2356.9</v>
      </c>
      <c r="K393">
        <f>amazon_store_sales_2022__1[[#This Row],[Total ]]*amazon_store_sales_2022__1[[#This Row],[Discount]]</f>
        <v>353.53500000000003</v>
      </c>
      <c r="L393" s="13">
        <f>amazon_store_sales_2022__1[[#This Row],[Total ]]-amazon_store_sales_2022__1[[#This Row],[Total Discount]]</f>
        <v>2003.365</v>
      </c>
      <c r="M393">
        <f>YEAR(amazon_store_sales_2022__1[[#This Row],[OrderDate]])</f>
        <v>2023</v>
      </c>
      <c r="N393" t="str" cm="1">
        <f t="array" ref="N393">_xlfn.IFS(L393&lt;500," VeryLow",L393&lt;1000,"Low",L393&lt;2000,"Medium",L393&lt;3000,"High",L393&lt;5000,"VeryHigh")</f>
        <v>High</v>
      </c>
      <c r="O393" t="str" cm="1">
        <f t="array" ref="O393">_xlfn.IFS(G393&lt;0.09,"Low",G393&lt;0.2,"Medium",G393&lt;0.4,"High")</f>
        <v>Medium</v>
      </c>
    </row>
    <row r="394" spans="1:15" x14ac:dyDescent="0.3">
      <c r="A394">
        <v>10393</v>
      </c>
      <c r="B394" s="1">
        <v>44954</v>
      </c>
      <c r="C394">
        <v>2058</v>
      </c>
      <c r="D394" t="s">
        <v>14</v>
      </c>
      <c r="E394">
        <v>7</v>
      </c>
      <c r="F394">
        <v>465.15</v>
      </c>
      <c r="G394">
        <v>0.28999999999999998</v>
      </c>
      <c r="H394" t="s">
        <v>17</v>
      </c>
      <c r="I394" t="s">
        <v>18</v>
      </c>
      <c r="J394">
        <f>amazon_store_sales_2022__1[[#This Row],[UnitPrice]]*amazon_store_sales_2022__1[[#This Row],[Quantity]]</f>
        <v>3256.0499999999997</v>
      </c>
      <c r="K394">
        <f>amazon_store_sales_2022__1[[#This Row],[Total ]]*amazon_store_sales_2022__1[[#This Row],[Discount]]</f>
        <v>944.25449999999989</v>
      </c>
      <c r="L394" s="13">
        <f>amazon_store_sales_2022__1[[#This Row],[Total ]]-amazon_store_sales_2022__1[[#This Row],[Total Discount]]</f>
        <v>2311.7954999999997</v>
      </c>
      <c r="M394">
        <f>YEAR(amazon_store_sales_2022__1[[#This Row],[OrderDate]])</f>
        <v>2023</v>
      </c>
      <c r="N394" t="str" cm="1">
        <f t="array" ref="N394">_xlfn.IFS(L394&lt;500," VeryLow",L394&lt;1000,"Low",L394&lt;2000,"Medium",L394&lt;3000,"High",L394&lt;5000,"VeryHigh")</f>
        <v>High</v>
      </c>
      <c r="O394" t="str" cm="1">
        <f t="array" ref="O394">_xlfn.IFS(G394&lt;0.09,"Low",G394&lt;0.2,"Medium",G394&lt;0.4,"High")</f>
        <v>High</v>
      </c>
    </row>
    <row r="395" spans="1:15" x14ac:dyDescent="0.3">
      <c r="A395">
        <v>10394</v>
      </c>
      <c r="B395" s="1">
        <v>44955</v>
      </c>
      <c r="C395">
        <v>2067</v>
      </c>
      <c r="D395" t="s">
        <v>16</v>
      </c>
      <c r="E395">
        <v>8</v>
      </c>
      <c r="F395">
        <v>268.47000000000003</v>
      </c>
      <c r="G395">
        <v>0.04</v>
      </c>
      <c r="H395" t="s">
        <v>20</v>
      </c>
      <c r="I395" t="s">
        <v>18</v>
      </c>
      <c r="J395">
        <f>amazon_store_sales_2022__1[[#This Row],[UnitPrice]]*amazon_store_sales_2022__1[[#This Row],[Quantity]]</f>
        <v>2147.7600000000002</v>
      </c>
      <c r="K395">
        <f>amazon_store_sales_2022__1[[#This Row],[Total ]]*amazon_store_sales_2022__1[[#This Row],[Discount]]</f>
        <v>85.91040000000001</v>
      </c>
      <c r="L395" s="13">
        <f>amazon_store_sales_2022__1[[#This Row],[Total ]]-amazon_store_sales_2022__1[[#This Row],[Total Discount]]</f>
        <v>2061.8496</v>
      </c>
      <c r="M395">
        <f>YEAR(amazon_store_sales_2022__1[[#This Row],[OrderDate]])</f>
        <v>2023</v>
      </c>
      <c r="N395" t="str" cm="1">
        <f t="array" ref="N395">_xlfn.IFS(L395&lt;500," VeryLow",L395&lt;1000,"Low",L395&lt;2000,"Medium",L395&lt;3000,"High",L395&lt;5000,"VeryHigh")</f>
        <v>High</v>
      </c>
      <c r="O395" t="str" cm="1">
        <f t="array" ref="O395">_xlfn.IFS(G395&lt;0.09,"Low",G395&lt;0.2,"Medium",G395&lt;0.4,"High")</f>
        <v>Low</v>
      </c>
    </row>
    <row r="396" spans="1:15" x14ac:dyDescent="0.3">
      <c r="A396">
        <v>10395</v>
      </c>
      <c r="B396" s="1">
        <v>44956</v>
      </c>
      <c r="C396">
        <v>2046</v>
      </c>
      <c r="D396" t="s">
        <v>9</v>
      </c>
      <c r="E396">
        <v>1</v>
      </c>
      <c r="F396">
        <v>292.56</v>
      </c>
      <c r="G396">
        <v>0.22</v>
      </c>
      <c r="H396" t="s">
        <v>13</v>
      </c>
      <c r="I396" t="s">
        <v>11</v>
      </c>
      <c r="J396">
        <f>amazon_store_sales_2022__1[[#This Row],[UnitPrice]]*amazon_store_sales_2022__1[[#This Row],[Quantity]]</f>
        <v>292.56</v>
      </c>
      <c r="K396">
        <f>amazon_store_sales_2022__1[[#This Row],[Total ]]*amazon_store_sales_2022__1[[#This Row],[Discount]]</f>
        <v>64.363200000000006</v>
      </c>
      <c r="L396" s="13">
        <f>amazon_store_sales_2022__1[[#This Row],[Total ]]-amazon_store_sales_2022__1[[#This Row],[Total Discount]]</f>
        <v>228.1968</v>
      </c>
      <c r="M396">
        <f>YEAR(amazon_store_sales_2022__1[[#This Row],[OrderDate]])</f>
        <v>2023</v>
      </c>
      <c r="N396" t="str" cm="1">
        <f t="array" ref="N396">_xlfn.IFS(L396&lt;500," VeryLow",L396&lt;1000,"Low",L396&lt;2000,"Medium",L396&lt;3000,"High",L396&lt;5000,"VeryHigh")</f>
        <v xml:space="preserve"> VeryLow</v>
      </c>
      <c r="O396" t="str" cm="1">
        <f t="array" ref="O396">_xlfn.IFS(G396&lt;0.09,"Low",G396&lt;0.2,"Medium",G396&lt;0.4,"High")</f>
        <v>High</v>
      </c>
    </row>
    <row r="397" spans="1:15" x14ac:dyDescent="0.3">
      <c r="A397">
        <v>10396</v>
      </c>
      <c r="B397" s="1">
        <v>44957</v>
      </c>
      <c r="C397">
        <v>2024</v>
      </c>
      <c r="D397" t="s">
        <v>12</v>
      </c>
      <c r="E397">
        <v>4</v>
      </c>
      <c r="F397">
        <v>49.37</v>
      </c>
      <c r="G397">
        <v>0.06</v>
      </c>
      <c r="H397" t="s">
        <v>13</v>
      </c>
      <c r="I397" t="s">
        <v>18</v>
      </c>
      <c r="J397">
        <f>amazon_store_sales_2022__1[[#This Row],[UnitPrice]]*amazon_store_sales_2022__1[[#This Row],[Quantity]]</f>
        <v>197.48</v>
      </c>
      <c r="K397">
        <f>amazon_store_sales_2022__1[[#This Row],[Total ]]*amazon_store_sales_2022__1[[#This Row],[Discount]]</f>
        <v>11.848799999999999</v>
      </c>
      <c r="L397" s="13">
        <f>amazon_store_sales_2022__1[[#This Row],[Total ]]-amazon_store_sales_2022__1[[#This Row],[Total Discount]]</f>
        <v>185.63119999999998</v>
      </c>
      <c r="M397">
        <f>YEAR(amazon_store_sales_2022__1[[#This Row],[OrderDate]])</f>
        <v>2023</v>
      </c>
      <c r="N397" t="str" cm="1">
        <f t="array" ref="N397">_xlfn.IFS(L397&lt;500," VeryLow",L397&lt;1000,"Low",L397&lt;2000,"Medium",L397&lt;3000,"High",L397&lt;5000,"VeryHigh")</f>
        <v xml:space="preserve"> VeryLow</v>
      </c>
      <c r="O397" t="str" cm="1">
        <f t="array" ref="O397">_xlfn.IFS(G397&lt;0.09,"Low",G397&lt;0.2,"Medium",G397&lt;0.4,"High")</f>
        <v>Low</v>
      </c>
    </row>
    <row r="398" spans="1:15" x14ac:dyDescent="0.3">
      <c r="A398">
        <v>10397</v>
      </c>
      <c r="B398" s="1">
        <v>44958</v>
      </c>
      <c r="C398">
        <v>2032</v>
      </c>
      <c r="D398" t="s">
        <v>9</v>
      </c>
      <c r="E398">
        <v>6</v>
      </c>
      <c r="F398">
        <v>360.23</v>
      </c>
      <c r="G398">
        <v>0.1</v>
      </c>
      <c r="H398" t="s">
        <v>17</v>
      </c>
      <c r="I398" t="s">
        <v>11</v>
      </c>
      <c r="J398">
        <f>amazon_store_sales_2022__1[[#This Row],[UnitPrice]]*amazon_store_sales_2022__1[[#This Row],[Quantity]]</f>
        <v>2161.38</v>
      </c>
      <c r="K398">
        <f>amazon_store_sales_2022__1[[#This Row],[Total ]]*amazon_store_sales_2022__1[[#This Row],[Discount]]</f>
        <v>216.13800000000003</v>
      </c>
      <c r="L398" s="13">
        <f>amazon_store_sales_2022__1[[#This Row],[Total ]]-amazon_store_sales_2022__1[[#This Row],[Total Discount]]</f>
        <v>1945.2420000000002</v>
      </c>
      <c r="M398">
        <f>YEAR(amazon_store_sales_2022__1[[#This Row],[OrderDate]])</f>
        <v>2023</v>
      </c>
      <c r="N398" t="str" cm="1">
        <f t="array" ref="N398">_xlfn.IFS(L398&lt;500," VeryLow",L398&lt;1000,"Low",L398&lt;2000,"Medium",L398&lt;3000,"High",L398&lt;5000,"VeryHigh")</f>
        <v>Medium</v>
      </c>
      <c r="O398" t="str" cm="1">
        <f t="array" ref="O398">_xlfn.IFS(G398&lt;0.09,"Low",G398&lt;0.2,"Medium",G398&lt;0.4,"High")</f>
        <v>Medium</v>
      </c>
    </row>
    <row r="399" spans="1:15" x14ac:dyDescent="0.3">
      <c r="A399">
        <v>10398</v>
      </c>
      <c r="B399" s="1">
        <v>44959</v>
      </c>
      <c r="C399">
        <v>2047</v>
      </c>
      <c r="D399" t="s">
        <v>12</v>
      </c>
      <c r="E399">
        <v>9</v>
      </c>
      <c r="F399">
        <v>202.95</v>
      </c>
      <c r="G399">
        <v>0.09</v>
      </c>
      <c r="H399" t="s">
        <v>20</v>
      </c>
      <c r="I399" t="s">
        <v>18</v>
      </c>
      <c r="J399">
        <f>amazon_store_sales_2022__1[[#This Row],[UnitPrice]]*amazon_store_sales_2022__1[[#This Row],[Quantity]]</f>
        <v>1826.55</v>
      </c>
      <c r="K399">
        <f>amazon_store_sales_2022__1[[#This Row],[Total ]]*amazon_store_sales_2022__1[[#This Row],[Discount]]</f>
        <v>164.3895</v>
      </c>
      <c r="L399" s="13">
        <f>amazon_store_sales_2022__1[[#This Row],[Total ]]-amazon_store_sales_2022__1[[#This Row],[Total Discount]]</f>
        <v>1662.1605</v>
      </c>
      <c r="M399">
        <f>YEAR(amazon_store_sales_2022__1[[#This Row],[OrderDate]])</f>
        <v>2023</v>
      </c>
      <c r="N399" t="str" cm="1">
        <f t="array" ref="N399">_xlfn.IFS(L399&lt;500," VeryLow",L399&lt;1000,"Low",L399&lt;2000,"Medium",L399&lt;3000,"High",L399&lt;5000,"VeryHigh")</f>
        <v>Medium</v>
      </c>
      <c r="O399" t="str" cm="1">
        <f t="array" ref="O399">_xlfn.IFS(G399&lt;0.09,"Low",G399&lt;0.2,"Medium",G399&lt;0.4,"High")</f>
        <v>Medium</v>
      </c>
    </row>
    <row r="400" spans="1:15" x14ac:dyDescent="0.3">
      <c r="A400">
        <v>10399</v>
      </c>
      <c r="B400" s="1">
        <v>44960</v>
      </c>
      <c r="C400">
        <v>2086</v>
      </c>
      <c r="D400" t="s">
        <v>16</v>
      </c>
      <c r="E400">
        <v>2</v>
      </c>
      <c r="F400">
        <v>488.48</v>
      </c>
      <c r="G400">
        <v>0.28000000000000003</v>
      </c>
      <c r="H400" t="s">
        <v>13</v>
      </c>
      <c r="I400" t="s">
        <v>11</v>
      </c>
      <c r="J400">
        <f>amazon_store_sales_2022__1[[#This Row],[UnitPrice]]*amazon_store_sales_2022__1[[#This Row],[Quantity]]</f>
        <v>976.96</v>
      </c>
      <c r="K400">
        <f>amazon_store_sales_2022__1[[#This Row],[Total ]]*amazon_store_sales_2022__1[[#This Row],[Discount]]</f>
        <v>273.54880000000003</v>
      </c>
      <c r="L400" s="13">
        <f>amazon_store_sales_2022__1[[#This Row],[Total ]]-amazon_store_sales_2022__1[[#This Row],[Total Discount]]</f>
        <v>703.41120000000001</v>
      </c>
      <c r="M400">
        <f>YEAR(amazon_store_sales_2022__1[[#This Row],[OrderDate]])</f>
        <v>2023</v>
      </c>
      <c r="N400" t="str" cm="1">
        <f t="array" ref="N400">_xlfn.IFS(L400&lt;500," VeryLow",L400&lt;1000,"Low",L400&lt;2000,"Medium",L400&lt;3000,"High",L400&lt;5000,"VeryHigh")</f>
        <v>Low</v>
      </c>
      <c r="O400" t="str" cm="1">
        <f t="array" ref="O400">_xlfn.IFS(G400&lt;0.09,"Low",G400&lt;0.2,"Medium",G400&lt;0.4,"High")</f>
        <v>High</v>
      </c>
    </row>
    <row r="401" spans="1:15" x14ac:dyDescent="0.3">
      <c r="A401">
        <v>10400</v>
      </c>
      <c r="B401" s="1">
        <v>44961</v>
      </c>
      <c r="C401">
        <v>2023</v>
      </c>
      <c r="D401" t="s">
        <v>12</v>
      </c>
      <c r="E401">
        <v>1</v>
      </c>
      <c r="F401">
        <v>412.47</v>
      </c>
      <c r="G401">
        <v>0.28999999999999998</v>
      </c>
      <c r="H401" t="s">
        <v>13</v>
      </c>
      <c r="I401" t="s">
        <v>11</v>
      </c>
      <c r="J401">
        <f>amazon_store_sales_2022__1[[#This Row],[UnitPrice]]*amazon_store_sales_2022__1[[#This Row],[Quantity]]</f>
        <v>412.47</v>
      </c>
      <c r="K401">
        <f>amazon_store_sales_2022__1[[#This Row],[Total ]]*amazon_store_sales_2022__1[[#This Row],[Discount]]</f>
        <v>119.6163</v>
      </c>
      <c r="L401" s="13">
        <f>amazon_store_sales_2022__1[[#This Row],[Total ]]-amazon_store_sales_2022__1[[#This Row],[Total Discount]]</f>
        <v>292.8537</v>
      </c>
      <c r="M401">
        <f>YEAR(amazon_store_sales_2022__1[[#This Row],[OrderDate]])</f>
        <v>2023</v>
      </c>
      <c r="N401" t="str" cm="1">
        <f t="array" ref="N401">_xlfn.IFS(L401&lt;500," VeryLow",L401&lt;1000,"Low",L401&lt;2000,"Medium",L401&lt;3000,"High",L401&lt;5000,"VeryHigh")</f>
        <v xml:space="preserve"> VeryLow</v>
      </c>
      <c r="O401" t="str" cm="1">
        <f t="array" ref="O401">_xlfn.IFS(G401&lt;0.09,"Low",G401&lt;0.2,"Medium",G401&lt;0.4,"High")</f>
        <v>High</v>
      </c>
    </row>
    <row r="402" spans="1:15" x14ac:dyDescent="0.3">
      <c r="A402">
        <v>10401</v>
      </c>
      <c r="B402" s="1">
        <v>44962</v>
      </c>
      <c r="C402">
        <v>2066</v>
      </c>
      <c r="D402" t="s">
        <v>14</v>
      </c>
      <c r="E402">
        <v>2</v>
      </c>
      <c r="F402">
        <v>263.63</v>
      </c>
      <c r="G402">
        <v>0.05</v>
      </c>
      <c r="H402" t="s">
        <v>15</v>
      </c>
      <c r="I402" t="s">
        <v>11</v>
      </c>
      <c r="J402">
        <f>amazon_store_sales_2022__1[[#This Row],[UnitPrice]]*amazon_store_sales_2022__1[[#This Row],[Quantity]]</f>
        <v>527.26</v>
      </c>
      <c r="K402">
        <f>amazon_store_sales_2022__1[[#This Row],[Total ]]*amazon_store_sales_2022__1[[#This Row],[Discount]]</f>
        <v>26.363</v>
      </c>
      <c r="L402" s="13">
        <f>amazon_store_sales_2022__1[[#This Row],[Total ]]-amazon_store_sales_2022__1[[#This Row],[Total Discount]]</f>
        <v>500.89699999999999</v>
      </c>
      <c r="M402">
        <f>YEAR(amazon_store_sales_2022__1[[#This Row],[OrderDate]])</f>
        <v>2023</v>
      </c>
      <c r="N402" t="str" cm="1">
        <f t="array" ref="N402">_xlfn.IFS(L402&lt;500," VeryLow",L402&lt;1000,"Low",L402&lt;2000,"Medium",L402&lt;3000,"High",L402&lt;5000,"VeryHigh")</f>
        <v>Low</v>
      </c>
      <c r="O402" t="str" cm="1">
        <f t="array" ref="O402">_xlfn.IFS(G402&lt;0.09,"Low",G402&lt;0.2,"Medium",G402&lt;0.4,"High")</f>
        <v>Low</v>
      </c>
    </row>
    <row r="403" spans="1:15" x14ac:dyDescent="0.3">
      <c r="A403">
        <v>10402</v>
      </c>
      <c r="B403" s="1">
        <v>44963</v>
      </c>
      <c r="C403">
        <v>2027</v>
      </c>
      <c r="D403" t="s">
        <v>14</v>
      </c>
      <c r="E403">
        <v>7</v>
      </c>
      <c r="F403">
        <v>66</v>
      </c>
      <c r="G403">
        <v>0.01</v>
      </c>
      <c r="H403" t="s">
        <v>15</v>
      </c>
      <c r="I403" t="s">
        <v>11</v>
      </c>
      <c r="J403">
        <f>amazon_store_sales_2022__1[[#This Row],[UnitPrice]]*amazon_store_sales_2022__1[[#This Row],[Quantity]]</f>
        <v>462</v>
      </c>
      <c r="K403">
        <f>amazon_store_sales_2022__1[[#This Row],[Total ]]*amazon_store_sales_2022__1[[#This Row],[Discount]]</f>
        <v>4.62</v>
      </c>
      <c r="L403" s="13">
        <f>amazon_store_sales_2022__1[[#This Row],[Total ]]-amazon_store_sales_2022__1[[#This Row],[Total Discount]]</f>
        <v>457.38</v>
      </c>
      <c r="M403">
        <f>YEAR(amazon_store_sales_2022__1[[#This Row],[OrderDate]])</f>
        <v>2023</v>
      </c>
      <c r="N403" t="str" cm="1">
        <f t="array" ref="N403">_xlfn.IFS(L403&lt;500," VeryLow",L403&lt;1000,"Low",L403&lt;2000,"Medium",L403&lt;3000,"High",L403&lt;5000,"VeryHigh")</f>
        <v xml:space="preserve"> VeryLow</v>
      </c>
      <c r="O403" t="str" cm="1">
        <f t="array" ref="O403">_xlfn.IFS(G403&lt;0.09,"Low",G403&lt;0.2,"Medium",G403&lt;0.4,"High")</f>
        <v>Low</v>
      </c>
    </row>
    <row r="404" spans="1:15" x14ac:dyDescent="0.3">
      <c r="A404">
        <v>10403</v>
      </c>
      <c r="B404" s="1">
        <v>44964</v>
      </c>
      <c r="C404">
        <v>2002</v>
      </c>
      <c r="D404" t="s">
        <v>14</v>
      </c>
      <c r="E404">
        <v>3</v>
      </c>
      <c r="F404">
        <v>430.41</v>
      </c>
      <c r="G404">
        <v>0.22</v>
      </c>
      <c r="H404" t="s">
        <v>13</v>
      </c>
      <c r="I404" t="s">
        <v>11</v>
      </c>
      <c r="J404">
        <f>amazon_store_sales_2022__1[[#This Row],[UnitPrice]]*amazon_store_sales_2022__1[[#This Row],[Quantity]]</f>
        <v>1291.23</v>
      </c>
      <c r="K404">
        <f>amazon_store_sales_2022__1[[#This Row],[Total ]]*amazon_store_sales_2022__1[[#This Row],[Discount]]</f>
        <v>284.07060000000001</v>
      </c>
      <c r="L404" s="13">
        <f>amazon_store_sales_2022__1[[#This Row],[Total ]]-amazon_store_sales_2022__1[[#This Row],[Total Discount]]</f>
        <v>1007.1594</v>
      </c>
      <c r="M404">
        <f>YEAR(amazon_store_sales_2022__1[[#This Row],[OrderDate]])</f>
        <v>2023</v>
      </c>
      <c r="N404" t="str" cm="1">
        <f t="array" ref="N404">_xlfn.IFS(L404&lt;500," VeryLow",L404&lt;1000,"Low",L404&lt;2000,"Medium",L404&lt;3000,"High",L404&lt;5000,"VeryHigh")</f>
        <v>Medium</v>
      </c>
      <c r="O404" t="str" cm="1">
        <f t="array" ref="O404">_xlfn.IFS(G404&lt;0.09,"Low",G404&lt;0.2,"Medium",G404&lt;0.4,"High")</f>
        <v>High</v>
      </c>
    </row>
    <row r="405" spans="1:15" x14ac:dyDescent="0.3">
      <c r="A405">
        <v>10404</v>
      </c>
      <c r="B405" s="1">
        <v>44965</v>
      </c>
      <c r="C405">
        <v>2090</v>
      </c>
      <c r="D405" t="s">
        <v>14</v>
      </c>
      <c r="E405">
        <v>2</v>
      </c>
      <c r="F405">
        <v>400.89</v>
      </c>
      <c r="G405">
        <v>0.13</v>
      </c>
      <c r="H405" t="s">
        <v>17</v>
      </c>
      <c r="I405" t="s">
        <v>11</v>
      </c>
      <c r="J405">
        <f>amazon_store_sales_2022__1[[#This Row],[UnitPrice]]*amazon_store_sales_2022__1[[#This Row],[Quantity]]</f>
        <v>801.78</v>
      </c>
      <c r="K405">
        <f>amazon_store_sales_2022__1[[#This Row],[Total ]]*amazon_store_sales_2022__1[[#This Row],[Discount]]</f>
        <v>104.23139999999999</v>
      </c>
      <c r="L405" s="13">
        <f>amazon_store_sales_2022__1[[#This Row],[Total ]]-amazon_store_sales_2022__1[[#This Row],[Total Discount]]</f>
        <v>697.54859999999996</v>
      </c>
      <c r="M405">
        <f>YEAR(amazon_store_sales_2022__1[[#This Row],[OrderDate]])</f>
        <v>2023</v>
      </c>
      <c r="N405" t="str" cm="1">
        <f t="array" ref="N405">_xlfn.IFS(L405&lt;500," VeryLow",L405&lt;1000,"Low",L405&lt;2000,"Medium",L405&lt;3000,"High",L405&lt;5000,"VeryHigh")</f>
        <v>Low</v>
      </c>
      <c r="O405" t="str" cm="1">
        <f t="array" ref="O405">_xlfn.IFS(G405&lt;0.09,"Low",G405&lt;0.2,"Medium",G405&lt;0.4,"High")</f>
        <v>Medium</v>
      </c>
    </row>
    <row r="406" spans="1:15" x14ac:dyDescent="0.3">
      <c r="A406">
        <v>10405</v>
      </c>
      <c r="B406" s="1">
        <v>44966</v>
      </c>
      <c r="C406">
        <v>2017</v>
      </c>
      <c r="D406" t="s">
        <v>9</v>
      </c>
      <c r="E406">
        <v>7</v>
      </c>
      <c r="F406">
        <v>96.37</v>
      </c>
      <c r="G406">
        <v>0.03</v>
      </c>
      <c r="H406" t="s">
        <v>10</v>
      </c>
      <c r="I406" t="s">
        <v>18</v>
      </c>
      <c r="J406">
        <f>amazon_store_sales_2022__1[[#This Row],[UnitPrice]]*amazon_store_sales_2022__1[[#This Row],[Quantity]]</f>
        <v>674.59</v>
      </c>
      <c r="K406">
        <f>amazon_store_sales_2022__1[[#This Row],[Total ]]*amazon_store_sales_2022__1[[#This Row],[Discount]]</f>
        <v>20.2377</v>
      </c>
      <c r="L406" s="13">
        <f>amazon_store_sales_2022__1[[#This Row],[Total ]]-amazon_store_sales_2022__1[[#This Row],[Total Discount]]</f>
        <v>654.35230000000001</v>
      </c>
      <c r="M406">
        <f>YEAR(amazon_store_sales_2022__1[[#This Row],[OrderDate]])</f>
        <v>2023</v>
      </c>
      <c r="N406" t="str" cm="1">
        <f t="array" ref="N406">_xlfn.IFS(L406&lt;500," VeryLow",L406&lt;1000,"Low",L406&lt;2000,"Medium",L406&lt;3000,"High",L406&lt;5000,"VeryHigh")</f>
        <v>Low</v>
      </c>
      <c r="O406" t="str" cm="1">
        <f t="array" ref="O406">_xlfn.IFS(G406&lt;0.09,"Low",G406&lt;0.2,"Medium",G406&lt;0.4,"High")</f>
        <v>Low</v>
      </c>
    </row>
    <row r="407" spans="1:15" x14ac:dyDescent="0.3">
      <c r="A407">
        <v>10406</v>
      </c>
      <c r="B407" s="1">
        <v>44967</v>
      </c>
      <c r="C407">
        <v>2033</v>
      </c>
      <c r="D407" t="s">
        <v>16</v>
      </c>
      <c r="E407">
        <v>2</v>
      </c>
      <c r="F407">
        <v>151.16</v>
      </c>
      <c r="G407">
        <v>0.21</v>
      </c>
      <c r="H407" t="s">
        <v>10</v>
      </c>
      <c r="I407" t="s">
        <v>11</v>
      </c>
      <c r="J407">
        <f>amazon_store_sales_2022__1[[#This Row],[UnitPrice]]*amazon_store_sales_2022__1[[#This Row],[Quantity]]</f>
        <v>302.32</v>
      </c>
      <c r="K407">
        <f>amazon_store_sales_2022__1[[#This Row],[Total ]]*amazon_store_sales_2022__1[[#This Row],[Discount]]</f>
        <v>63.487199999999994</v>
      </c>
      <c r="L407" s="13">
        <f>amazon_store_sales_2022__1[[#This Row],[Total ]]-amazon_store_sales_2022__1[[#This Row],[Total Discount]]</f>
        <v>238.83279999999999</v>
      </c>
      <c r="M407">
        <f>YEAR(amazon_store_sales_2022__1[[#This Row],[OrderDate]])</f>
        <v>2023</v>
      </c>
      <c r="N407" t="str" cm="1">
        <f t="array" ref="N407">_xlfn.IFS(L407&lt;500," VeryLow",L407&lt;1000,"Low",L407&lt;2000,"Medium",L407&lt;3000,"High",L407&lt;5000,"VeryHigh")</f>
        <v xml:space="preserve"> VeryLow</v>
      </c>
      <c r="O407" t="str" cm="1">
        <f t="array" ref="O407">_xlfn.IFS(G407&lt;0.09,"Low",G407&lt;0.2,"Medium",G407&lt;0.4,"High")</f>
        <v>High</v>
      </c>
    </row>
    <row r="408" spans="1:15" x14ac:dyDescent="0.3">
      <c r="A408">
        <v>10407</v>
      </c>
      <c r="B408" s="1">
        <v>44968</v>
      </c>
      <c r="C408">
        <v>2009</v>
      </c>
      <c r="D408" t="s">
        <v>12</v>
      </c>
      <c r="E408">
        <v>3</v>
      </c>
      <c r="F408">
        <v>397.74</v>
      </c>
      <c r="G408">
        <v>0.16</v>
      </c>
      <c r="H408" t="s">
        <v>13</v>
      </c>
      <c r="I408" t="s">
        <v>18</v>
      </c>
      <c r="J408">
        <f>amazon_store_sales_2022__1[[#This Row],[UnitPrice]]*amazon_store_sales_2022__1[[#This Row],[Quantity]]</f>
        <v>1193.22</v>
      </c>
      <c r="K408">
        <f>amazon_store_sales_2022__1[[#This Row],[Total ]]*amazon_store_sales_2022__1[[#This Row],[Discount]]</f>
        <v>190.9152</v>
      </c>
      <c r="L408" s="13">
        <f>amazon_store_sales_2022__1[[#This Row],[Total ]]-amazon_store_sales_2022__1[[#This Row],[Total Discount]]</f>
        <v>1002.3048</v>
      </c>
      <c r="M408">
        <f>YEAR(amazon_store_sales_2022__1[[#This Row],[OrderDate]])</f>
        <v>2023</v>
      </c>
      <c r="N408" t="str" cm="1">
        <f t="array" ref="N408">_xlfn.IFS(L408&lt;500," VeryLow",L408&lt;1000,"Low",L408&lt;2000,"Medium",L408&lt;3000,"High",L408&lt;5000,"VeryHigh")</f>
        <v>Medium</v>
      </c>
      <c r="O408" t="str" cm="1">
        <f t="array" ref="O408">_xlfn.IFS(G408&lt;0.09,"Low",G408&lt;0.2,"Medium",G408&lt;0.4,"High")</f>
        <v>Medium</v>
      </c>
    </row>
    <row r="409" spans="1:15" x14ac:dyDescent="0.3">
      <c r="A409">
        <v>10408</v>
      </c>
      <c r="B409" s="1">
        <v>44969</v>
      </c>
      <c r="C409">
        <v>2043</v>
      </c>
      <c r="D409" t="s">
        <v>12</v>
      </c>
      <c r="E409">
        <v>7</v>
      </c>
      <c r="F409">
        <v>96.69</v>
      </c>
      <c r="G409">
        <v>0.28999999999999998</v>
      </c>
      <c r="H409" t="s">
        <v>13</v>
      </c>
      <c r="I409" t="s">
        <v>11</v>
      </c>
      <c r="J409">
        <f>amazon_store_sales_2022__1[[#This Row],[UnitPrice]]*amazon_store_sales_2022__1[[#This Row],[Quantity]]</f>
        <v>676.82999999999993</v>
      </c>
      <c r="K409">
        <f>amazon_store_sales_2022__1[[#This Row],[Total ]]*amazon_store_sales_2022__1[[#This Row],[Discount]]</f>
        <v>196.28069999999997</v>
      </c>
      <c r="L409" s="13">
        <f>amazon_store_sales_2022__1[[#This Row],[Total ]]-amazon_store_sales_2022__1[[#This Row],[Total Discount]]</f>
        <v>480.54929999999996</v>
      </c>
      <c r="M409">
        <f>YEAR(amazon_store_sales_2022__1[[#This Row],[OrderDate]])</f>
        <v>2023</v>
      </c>
      <c r="N409" t="str" cm="1">
        <f t="array" ref="N409">_xlfn.IFS(L409&lt;500," VeryLow",L409&lt;1000,"Low",L409&lt;2000,"Medium",L409&lt;3000,"High",L409&lt;5000,"VeryHigh")</f>
        <v xml:space="preserve"> VeryLow</v>
      </c>
      <c r="O409" t="str" cm="1">
        <f t="array" ref="O409">_xlfn.IFS(G409&lt;0.09,"Low",G409&lt;0.2,"Medium",G409&lt;0.4,"High")</f>
        <v>High</v>
      </c>
    </row>
    <row r="410" spans="1:15" x14ac:dyDescent="0.3">
      <c r="A410">
        <v>10409</v>
      </c>
      <c r="B410" s="1">
        <v>44970</v>
      </c>
      <c r="C410">
        <v>2048</v>
      </c>
      <c r="D410" t="s">
        <v>14</v>
      </c>
      <c r="E410">
        <v>4</v>
      </c>
      <c r="F410">
        <v>459.29</v>
      </c>
      <c r="G410">
        <v>7.0000000000000007E-2</v>
      </c>
      <c r="H410" t="s">
        <v>13</v>
      </c>
      <c r="I410" t="s">
        <v>18</v>
      </c>
      <c r="J410">
        <f>amazon_store_sales_2022__1[[#This Row],[UnitPrice]]*amazon_store_sales_2022__1[[#This Row],[Quantity]]</f>
        <v>1837.16</v>
      </c>
      <c r="K410">
        <f>amazon_store_sales_2022__1[[#This Row],[Total ]]*amazon_store_sales_2022__1[[#This Row],[Discount]]</f>
        <v>128.60120000000001</v>
      </c>
      <c r="L410" s="13">
        <f>amazon_store_sales_2022__1[[#This Row],[Total ]]-amazon_store_sales_2022__1[[#This Row],[Total Discount]]</f>
        <v>1708.5588</v>
      </c>
      <c r="M410">
        <f>YEAR(amazon_store_sales_2022__1[[#This Row],[OrderDate]])</f>
        <v>2023</v>
      </c>
      <c r="N410" t="str" cm="1">
        <f t="array" ref="N410">_xlfn.IFS(L410&lt;500," VeryLow",L410&lt;1000,"Low",L410&lt;2000,"Medium",L410&lt;3000,"High",L410&lt;5000,"VeryHigh")</f>
        <v>Medium</v>
      </c>
      <c r="O410" t="str" cm="1">
        <f t="array" ref="O410">_xlfn.IFS(G410&lt;0.09,"Low",G410&lt;0.2,"Medium",G410&lt;0.4,"High")</f>
        <v>Low</v>
      </c>
    </row>
    <row r="411" spans="1:15" x14ac:dyDescent="0.3">
      <c r="A411">
        <v>10410</v>
      </c>
      <c r="B411" s="1">
        <v>44971</v>
      </c>
      <c r="C411">
        <v>2039</v>
      </c>
      <c r="D411" t="s">
        <v>14</v>
      </c>
      <c r="E411">
        <v>1</v>
      </c>
      <c r="F411">
        <v>215.14</v>
      </c>
      <c r="G411">
        <v>0.12</v>
      </c>
      <c r="H411" t="s">
        <v>17</v>
      </c>
      <c r="I411" t="s">
        <v>11</v>
      </c>
      <c r="J411">
        <f>amazon_store_sales_2022__1[[#This Row],[UnitPrice]]*amazon_store_sales_2022__1[[#This Row],[Quantity]]</f>
        <v>215.14</v>
      </c>
      <c r="K411">
        <f>amazon_store_sales_2022__1[[#This Row],[Total ]]*amazon_store_sales_2022__1[[#This Row],[Discount]]</f>
        <v>25.816799999999997</v>
      </c>
      <c r="L411" s="13">
        <f>amazon_store_sales_2022__1[[#This Row],[Total ]]-amazon_store_sales_2022__1[[#This Row],[Total Discount]]</f>
        <v>189.32319999999999</v>
      </c>
      <c r="M411">
        <f>YEAR(amazon_store_sales_2022__1[[#This Row],[OrderDate]])</f>
        <v>2023</v>
      </c>
      <c r="N411" t="str" cm="1">
        <f t="array" ref="N411">_xlfn.IFS(L411&lt;500," VeryLow",L411&lt;1000,"Low",L411&lt;2000,"Medium",L411&lt;3000,"High",L411&lt;5000,"VeryHigh")</f>
        <v xml:space="preserve"> VeryLow</v>
      </c>
      <c r="O411" t="str" cm="1">
        <f t="array" ref="O411">_xlfn.IFS(G411&lt;0.09,"Low",G411&lt;0.2,"Medium",G411&lt;0.4,"High")</f>
        <v>Medium</v>
      </c>
    </row>
    <row r="412" spans="1:15" x14ac:dyDescent="0.3">
      <c r="A412">
        <v>10411</v>
      </c>
      <c r="B412" s="1">
        <v>44972</v>
      </c>
      <c r="C412">
        <v>2093</v>
      </c>
      <c r="D412" t="s">
        <v>19</v>
      </c>
      <c r="E412">
        <v>5</v>
      </c>
      <c r="F412">
        <v>48.08</v>
      </c>
      <c r="G412">
        <v>0.16</v>
      </c>
      <c r="H412" t="s">
        <v>15</v>
      </c>
      <c r="I412" t="s">
        <v>11</v>
      </c>
      <c r="J412">
        <f>amazon_store_sales_2022__1[[#This Row],[UnitPrice]]*amazon_store_sales_2022__1[[#This Row],[Quantity]]</f>
        <v>240.39999999999998</v>
      </c>
      <c r="K412">
        <f>amazon_store_sales_2022__1[[#This Row],[Total ]]*amazon_store_sales_2022__1[[#This Row],[Discount]]</f>
        <v>38.463999999999999</v>
      </c>
      <c r="L412" s="13">
        <f>amazon_store_sales_2022__1[[#This Row],[Total ]]-amazon_store_sales_2022__1[[#This Row],[Total Discount]]</f>
        <v>201.93599999999998</v>
      </c>
      <c r="M412">
        <f>YEAR(amazon_store_sales_2022__1[[#This Row],[OrderDate]])</f>
        <v>2023</v>
      </c>
      <c r="N412" t="str" cm="1">
        <f t="array" ref="N412">_xlfn.IFS(L412&lt;500," VeryLow",L412&lt;1000,"Low",L412&lt;2000,"Medium",L412&lt;3000,"High",L412&lt;5000,"VeryHigh")</f>
        <v xml:space="preserve"> VeryLow</v>
      </c>
      <c r="O412" t="str" cm="1">
        <f t="array" ref="O412">_xlfn.IFS(G412&lt;0.09,"Low",G412&lt;0.2,"Medium",G412&lt;0.4,"High")</f>
        <v>Medium</v>
      </c>
    </row>
    <row r="413" spans="1:15" x14ac:dyDescent="0.3">
      <c r="A413">
        <v>10412</v>
      </c>
      <c r="B413" s="1">
        <v>44973</v>
      </c>
      <c r="C413">
        <v>2042</v>
      </c>
      <c r="D413" t="s">
        <v>16</v>
      </c>
      <c r="E413">
        <v>9</v>
      </c>
      <c r="F413">
        <v>408.8</v>
      </c>
      <c r="G413">
        <v>0.24</v>
      </c>
      <c r="H413" t="s">
        <v>13</v>
      </c>
      <c r="I413" t="s">
        <v>18</v>
      </c>
      <c r="J413">
        <f>amazon_store_sales_2022__1[[#This Row],[UnitPrice]]*amazon_store_sales_2022__1[[#This Row],[Quantity]]</f>
        <v>3679.2000000000003</v>
      </c>
      <c r="K413">
        <f>amazon_store_sales_2022__1[[#This Row],[Total ]]*amazon_store_sales_2022__1[[#This Row],[Discount]]</f>
        <v>883.00800000000004</v>
      </c>
      <c r="L413" s="13">
        <f>amazon_store_sales_2022__1[[#This Row],[Total ]]-amazon_store_sales_2022__1[[#This Row],[Total Discount]]</f>
        <v>2796.192</v>
      </c>
      <c r="M413">
        <f>YEAR(amazon_store_sales_2022__1[[#This Row],[OrderDate]])</f>
        <v>2023</v>
      </c>
      <c r="N413" t="str" cm="1">
        <f t="array" ref="N413">_xlfn.IFS(L413&lt;500," VeryLow",L413&lt;1000,"Low",L413&lt;2000,"Medium",L413&lt;3000,"High",L413&lt;5000,"VeryHigh")</f>
        <v>High</v>
      </c>
      <c r="O413" t="str" cm="1">
        <f t="array" ref="O413">_xlfn.IFS(G413&lt;0.09,"Low",G413&lt;0.2,"Medium",G413&lt;0.4,"High")</f>
        <v>High</v>
      </c>
    </row>
    <row r="414" spans="1:15" x14ac:dyDescent="0.3">
      <c r="A414">
        <v>10413</v>
      </c>
      <c r="B414" s="1">
        <v>44974</v>
      </c>
      <c r="C414">
        <v>2026</v>
      </c>
      <c r="D414" t="s">
        <v>9</v>
      </c>
      <c r="E414">
        <v>8</v>
      </c>
      <c r="F414">
        <v>189.89</v>
      </c>
      <c r="G414">
        <v>0.16</v>
      </c>
      <c r="H414" t="s">
        <v>13</v>
      </c>
      <c r="I414" t="s">
        <v>11</v>
      </c>
      <c r="J414">
        <f>amazon_store_sales_2022__1[[#This Row],[UnitPrice]]*amazon_store_sales_2022__1[[#This Row],[Quantity]]</f>
        <v>1519.12</v>
      </c>
      <c r="K414">
        <f>amazon_store_sales_2022__1[[#This Row],[Total ]]*amazon_store_sales_2022__1[[#This Row],[Discount]]</f>
        <v>243.05919999999998</v>
      </c>
      <c r="L414" s="13">
        <f>amazon_store_sales_2022__1[[#This Row],[Total ]]-amazon_store_sales_2022__1[[#This Row],[Total Discount]]</f>
        <v>1276.0608</v>
      </c>
      <c r="M414">
        <f>YEAR(amazon_store_sales_2022__1[[#This Row],[OrderDate]])</f>
        <v>2023</v>
      </c>
      <c r="N414" t="str" cm="1">
        <f t="array" ref="N414">_xlfn.IFS(L414&lt;500," VeryLow",L414&lt;1000,"Low",L414&lt;2000,"Medium",L414&lt;3000,"High",L414&lt;5000,"VeryHigh")</f>
        <v>Medium</v>
      </c>
      <c r="O414" t="str" cm="1">
        <f t="array" ref="O414">_xlfn.IFS(G414&lt;0.09,"Low",G414&lt;0.2,"Medium",G414&lt;0.4,"High")</f>
        <v>Medium</v>
      </c>
    </row>
    <row r="415" spans="1:15" x14ac:dyDescent="0.3">
      <c r="A415">
        <v>10414</v>
      </c>
      <c r="B415" s="1">
        <v>44975</v>
      </c>
      <c r="C415">
        <v>2099</v>
      </c>
      <c r="D415" t="s">
        <v>12</v>
      </c>
      <c r="E415">
        <v>9</v>
      </c>
      <c r="F415">
        <v>265.62</v>
      </c>
      <c r="G415">
        <v>0.18</v>
      </c>
      <c r="H415" t="s">
        <v>20</v>
      </c>
      <c r="I415" t="s">
        <v>11</v>
      </c>
      <c r="J415">
        <f>amazon_store_sales_2022__1[[#This Row],[UnitPrice]]*amazon_store_sales_2022__1[[#This Row],[Quantity]]</f>
        <v>2390.58</v>
      </c>
      <c r="K415">
        <f>amazon_store_sales_2022__1[[#This Row],[Total ]]*amazon_store_sales_2022__1[[#This Row],[Discount]]</f>
        <v>430.30439999999999</v>
      </c>
      <c r="L415" s="13">
        <f>amazon_store_sales_2022__1[[#This Row],[Total ]]-amazon_store_sales_2022__1[[#This Row],[Total Discount]]</f>
        <v>1960.2755999999999</v>
      </c>
      <c r="M415">
        <f>YEAR(amazon_store_sales_2022__1[[#This Row],[OrderDate]])</f>
        <v>2023</v>
      </c>
      <c r="N415" t="str" cm="1">
        <f t="array" ref="N415">_xlfn.IFS(L415&lt;500," VeryLow",L415&lt;1000,"Low",L415&lt;2000,"Medium",L415&lt;3000,"High",L415&lt;5000,"VeryHigh")</f>
        <v>Medium</v>
      </c>
      <c r="O415" t="str" cm="1">
        <f t="array" ref="O415">_xlfn.IFS(G415&lt;0.09,"Low",G415&lt;0.2,"Medium",G415&lt;0.4,"High")</f>
        <v>Medium</v>
      </c>
    </row>
    <row r="416" spans="1:15" x14ac:dyDescent="0.3">
      <c r="A416">
        <v>10415</v>
      </c>
      <c r="B416" s="1">
        <v>44976</v>
      </c>
      <c r="C416">
        <v>2050</v>
      </c>
      <c r="D416" t="s">
        <v>19</v>
      </c>
      <c r="E416">
        <v>9</v>
      </c>
      <c r="F416">
        <v>60.59</v>
      </c>
      <c r="G416">
        <v>7.0000000000000007E-2</v>
      </c>
      <c r="H416" t="s">
        <v>17</v>
      </c>
      <c r="I416" t="s">
        <v>11</v>
      </c>
      <c r="J416">
        <f>amazon_store_sales_2022__1[[#This Row],[UnitPrice]]*amazon_store_sales_2022__1[[#This Row],[Quantity]]</f>
        <v>545.31000000000006</v>
      </c>
      <c r="K416">
        <f>amazon_store_sales_2022__1[[#This Row],[Total ]]*amazon_store_sales_2022__1[[#This Row],[Discount]]</f>
        <v>38.171700000000008</v>
      </c>
      <c r="L416" s="13">
        <f>amazon_store_sales_2022__1[[#This Row],[Total ]]-amazon_store_sales_2022__1[[#This Row],[Total Discount]]</f>
        <v>507.13830000000007</v>
      </c>
      <c r="M416">
        <f>YEAR(amazon_store_sales_2022__1[[#This Row],[OrderDate]])</f>
        <v>2023</v>
      </c>
      <c r="N416" t="str" cm="1">
        <f t="array" ref="N416">_xlfn.IFS(L416&lt;500," VeryLow",L416&lt;1000,"Low",L416&lt;2000,"Medium",L416&lt;3000,"High",L416&lt;5000,"VeryHigh")</f>
        <v>Low</v>
      </c>
      <c r="O416" t="str" cm="1">
        <f t="array" ref="O416">_xlfn.IFS(G416&lt;0.09,"Low",G416&lt;0.2,"Medium",G416&lt;0.4,"High")</f>
        <v>Low</v>
      </c>
    </row>
    <row r="417" spans="1:15" x14ac:dyDescent="0.3">
      <c r="A417">
        <v>10416</v>
      </c>
      <c r="B417" s="1">
        <v>44977</v>
      </c>
      <c r="C417">
        <v>2025</v>
      </c>
      <c r="D417" t="s">
        <v>19</v>
      </c>
      <c r="E417">
        <v>7</v>
      </c>
      <c r="F417">
        <v>6.28</v>
      </c>
      <c r="G417">
        <v>0.25</v>
      </c>
      <c r="H417" t="s">
        <v>13</v>
      </c>
      <c r="I417" t="s">
        <v>18</v>
      </c>
      <c r="J417">
        <f>amazon_store_sales_2022__1[[#This Row],[UnitPrice]]*amazon_store_sales_2022__1[[#This Row],[Quantity]]</f>
        <v>43.96</v>
      </c>
      <c r="K417">
        <f>amazon_store_sales_2022__1[[#This Row],[Total ]]*amazon_store_sales_2022__1[[#This Row],[Discount]]</f>
        <v>10.99</v>
      </c>
      <c r="L417" s="13">
        <f>amazon_store_sales_2022__1[[#This Row],[Total ]]-amazon_store_sales_2022__1[[#This Row],[Total Discount]]</f>
        <v>32.97</v>
      </c>
      <c r="M417">
        <f>YEAR(amazon_store_sales_2022__1[[#This Row],[OrderDate]])</f>
        <v>2023</v>
      </c>
      <c r="N417" t="str" cm="1">
        <f t="array" ref="N417">_xlfn.IFS(L417&lt;500," VeryLow",L417&lt;1000,"Low",L417&lt;2000,"Medium",L417&lt;3000,"High",L417&lt;5000,"VeryHigh")</f>
        <v xml:space="preserve"> VeryLow</v>
      </c>
      <c r="O417" t="str" cm="1">
        <f t="array" ref="O417">_xlfn.IFS(G417&lt;0.09,"Low",G417&lt;0.2,"Medium",G417&lt;0.4,"High")</f>
        <v>High</v>
      </c>
    </row>
    <row r="418" spans="1:15" x14ac:dyDescent="0.3">
      <c r="A418">
        <v>10417</v>
      </c>
      <c r="B418" s="1">
        <v>44978</v>
      </c>
      <c r="C418">
        <v>2024</v>
      </c>
      <c r="D418" t="s">
        <v>12</v>
      </c>
      <c r="E418">
        <v>4</v>
      </c>
      <c r="F418">
        <v>320.8</v>
      </c>
      <c r="G418">
        <v>0.13</v>
      </c>
      <c r="H418" t="s">
        <v>20</v>
      </c>
      <c r="I418" t="s">
        <v>11</v>
      </c>
      <c r="J418">
        <f>amazon_store_sales_2022__1[[#This Row],[UnitPrice]]*amazon_store_sales_2022__1[[#This Row],[Quantity]]</f>
        <v>1283.2</v>
      </c>
      <c r="K418">
        <f>amazon_store_sales_2022__1[[#This Row],[Total ]]*amazon_store_sales_2022__1[[#This Row],[Discount]]</f>
        <v>166.816</v>
      </c>
      <c r="L418" s="13">
        <f>amazon_store_sales_2022__1[[#This Row],[Total ]]-amazon_store_sales_2022__1[[#This Row],[Total Discount]]</f>
        <v>1116.384</v>
      </c>
      <c r="M418">
        <f>YEAR(amazon_store_sales_2022__1[[#This Row],[OrderDate]])</f>
        <v>2023</v>
      </c>
      <c r="N418" t="str" cm="1">
        <f t="array" ref="N418">_xlfn.IFS(L418&lt;500," VeryLow",L418&lt;1000,"Low",L418&lt;2000,"Medium",L418&lt;3000,"High",L418&lt;5000,"VeryHigh")</f>
        <v>Medium</v>
      </c>
      <c r="O418" t="str" cm="1">
        <f t="array" ref="O418">_xlfn.IFS(G418&lt;0.09,"Low",G418&lt;0.2,"Medium",G418&lt;0.4,"High")</f>
        <v>Medium</v>
      </c>
    </row>
    <row r="419" spans="1:15" x14ac:dyDescent="0.3">
      <c r="A419">
        <v>10418</v>
      </c>
      <c r="B419" s="1">
        <v>44979</v>
      </c>
      <c r="C419">
        <v>2013</v>
      </c>
      <c r="D419" t="s">
        <v>9</v>
      </c>
      <c r="E419">
        <v>5</v>
      </c>
      <c r="F419">
        <v>260.01</v>
      </c>
      <c r="G419">
        <v>0.04</v>
      </c>
      <c r="H419" t="s">
        <v>10</v>
      </c>
      <c r="I419" t="s">
        <v>18</v>
      </c>
      <c r="J419">
        <f>amazon_store_sales_2022__1[[#This Row],[UnitPrice]]*amazon_store_sales_2022__1[[#This Row],[Quantity]]</f>
        <v>1300.05</v>
      </c>
      <c r="K419">
        <f>amazon_store_sales_2022__1[[#This Row],[Total ]]*amazon_store_sales_2022__1[[#This Row],[Discount]]</f>
        <v>52.002000000000002</v>
      </c>
      <c r="L419" s="13">
        <f>amazon_store_sales_2022__1[[#This Row],[Total ]]-amazon_store_sales_2022__1[[#This Row],[Total Discount]]</f>
        <v>1248.048</v>
      </c>
      <c r="M419">
        <f>YEAR(amazon_store_sales_2022__1[[#This Row],[OrderDate]])</f>
        <v>2023</v>
      </c>
      <c r="N419" t="str" cm="1">
        <f t="array" ref="N419">_xlfn.IFS(L419&lt;500," VeryLow",L419&lt;1000,"Low",L419&lt;2000,"Medium",L419&lt;3000,"High",L419&lt;5000,"VeryHigh")</f>
        <v>Medium</v>
      </c>
      <c r="O419" t="str" cm="1">
        <f t="array" ref="O419">_xlfn.IFS(G419&lt;0.09,"Low",G419&lt;0.2,"Medium",G419&lt;0.4,"High")</f>
        <v>Low</v>
      </c>
    </row>
    <row r="420" spans="1:15" x14ac:dyDescent="0.3">
      <c r="A420">
        <v>10419</v>
      </c>
      <c r="B420" s="1">
        <v>44980</v>
      </c>
      <c r="C420">
        <v>2060</v>
      </c>
      <c r="D420" t="s">
        <v>19</v>
      </c>
      <c r="E420">
        <v>1</v>
      </c>
      <c r="F420">
        <v>298.8</v>
      </c>
      <c r="G420">
        <v>0.2</v>
      </c>
      <c r="H420" t="s">
        <v>13</v>
      </c>
      <c r="I420" t="s">
        <v>11</v>
      </c>
      <c r="J420">
        <f>amazon_store_sales_2022__1[[#This Row],[UnitPrice]]*amazon_store_sales_2022__1[[#This Row],[Quantity]]</f>
        <v>298.8</v>
      </c>
      <c r="K420">
        <f>amazon_store_sales_2022__1[[#This Row],[Total ]]*amazon_store_sales_2022__1[[#This Row],[Discount]]</f>
        <v>59.760000000000005</v>
      </c>
      <c r="L420" s="13">
        <f>amazon_store_sales_2022__1[[#This Row],[Total ]]-amazon_store_sales_2022__1[[#This Row],[Total Discount]]</f>
        <v>239.04000000000002</v>
      </c>
      <c r="M420">
        <f>YEAR(amazon_store_sales_2022__1[[#This Row],[OrderDate]])</f>
        <v>2023</v>
      </c>
      <c r="N420" t="str" cm="1">
        <f t="array" ref="N420">_xlfn.IFS(L420&lt;500," VeryLow",L420&lt;1000,"Low",L420&lt;2000,"Medium",L420&lt;3000,"High",L420&lt;5000,"VeryHigh")</f>
        <v xml:space="preserve"> VeryLow</v>
      </c>
      <c r="O420" t="str" cm="1">
        <f t="array" ref="O420">_xlfn.IFS(G420&lt;0.09,"Low",G420&lt;0.2,"Medium",G420&lt;0.4,"High")</f>
        <v>High</v>
      </c>
    </row>
    <row r="421" spans="1:15" x14ac:dyDescent="0.3">
      <c r="A421">
        <v>10420</v>
      </c>
      <c r="B421" s="1">
        <v>44981</v>
      </c>
      <c r="C421">
        <v>2007</v>
      </c>
      <c r="D421" t="s">
        <v>19</v>
      </c>
      <c r="E421">
        <v>1</v>
      </c>
      <c r="F421">
        <v>397.9</v>
      </c>
      <c r="G421">
        <v>0.06</v>
      </c>
      <c r="H421" t="s">
        <v>13</v>
      </c>
      <c r="I421" t="s">
        <v>11</v>
      </c>
      <c r="J421">
        <f>amazon_store_sales_2022__1[[#This Row],[UnitPrice]]*amazon_store_sales_2022__1[[#This Row],[Quantity]]</f>
        <v>397.9</v>
      </c>
      <c r="K421">
        <f>amazon_store_sales_2022__1[[#This Row],[Total ]]*amazon_store_sales_2022__1[[#This Row],[Discount]]</f>
        <v>23.873999999999999</v>
      </c>
      <c r="L421" s="13">
        <f>amazon_store_sales_2022__1[[#This Row],[Total ]]-amazon_store_sales_2022__1[[#This Row],[Total Discount]]</f>
        <v>374.02599999999995</v>
      </c>
      <c r="M421">
        <f>YEAR(amazon_store_sales_2022__1[[#This Row],[OrderDate]])</f>
        <v>2023</v>
      </c>
      <c r="N421" t="str" cm="1">
        <f t="array" ref="N421">_xlfn.IFS(L421&lt;500," VeryLow",L421&lt;1000,"Low",L421&lt;2000,"Medium",L421&lt;3000,"High",L421&lt;5000,"VeryHigh")</f>
        <v xml:space="preserve"> VeryLow</v>
      </c>
      <c r="O421" t="str" cm="1">
        <f t="array" ref="O421">_xlfn.IFS(G421&lt;0.09,"Low",G421&lt;0.2,"Medium",G421&lt;0.4,"High")</f>
        <v>Low</v>
      </c>
    </row>
    <row r="422" spans="1:15" x14ac:dyDescent="0.3">
      <c r="A422">
        <v>10421</v>
      </c>
      <c r="B422" s="1">
        <v>44982</v>
      </c>
      <c r="C422">
        <v>2057</v>
      </c>
      <c r="D422" t="s">
        <v>16</v>
      </c>
      <c r="E422">
        <v>3</v>
      </c>
      <c r="F422">
        <v>325.07</v>
      </c>
      <c r="G422">
        <v>0.03</v>
      </c>
      <c r="H422" t="s">
        <v>20</v>
      </c>
      <c r="I422" t="s">
        <v>18</v>
      </c>
      <c r="J422">
        <f>amazon_store_sales_2022__1[[#This Row],[UnitPrice]]*amazon_store_sales_2022__1[[#This Row],[Quantity]]</f>
        <v>975.21</v>
      </c>
      <c r="K422">
        <f>amazon_store_sales_2022__1[[#This Row],[Total ]]*amazon_store_sales_2022__1[[#This Row],[Discount]]</f>
        <v>29.2563</v>
      </c>
      <c r="L422" s="13">
        <f>amazon_store_sales_2022__1[[#This Row],[Total ]]-amazon_store_sales_2022__1[[#This Row],[Total Discount]]</f>
        <v>945.95370000000003</v>
      </c>
      <c r="M422">
        <f>YEAR(amazon_store_sales_2022__1[[#This Row],[OrderDate]])</f>
        <v>2023</v>
      </c>
      <c r="N422" t="str" cm="1">
        <f t="array" ref="N422">_xlfn.IFS(L422&lt;500," VeryLow",L422&lt;1000,"Low",L422&lt;2000,"Medium",L422&lt;3000,"High",L422&lt;5000,"VeryHigh")</f>
        <v>Low</v>
      </c>
      <c r="O422" t="str" cm="1">
        <f t="array" ref="O422">_xlfn.IFS(G422&lt;0.09,"Low",G422&lt;0.2,"Medium",G422&lt;0.4,"High")</f>
        <v>Low</v>
      </c>
    </row>
    <row r="423" spans="1:15" x14ac:dyDescent="0.3">
      <c r="A423">
        <v>10422</v>
      </c>
      <c r="B423" s="1">
        <v>44983</v>
      </c>
      <c r="C423">
        <v>2036</v>
      </c>
      <c r="D423" t="s">
        <v>9</v>
      </c>
      <c r="E423">
        <v>8</v>
      </c>
      <c r="F423">
        <v>91.51</v>
      </c>
      <c r="G423">
        <v>0.26</v>
      </c>
      <c r="H423" t="s">
        <v>17</v>
      </c>
      <c r="I423" t="s">
        <v>11</v>
      </c>
      <c r="J423">
        <f>amazon_store_sales_2022__1[[#This Row],[UnitPrice]]*amazon_store_sales_2022__1[[#This Row],[Quantity]]</f>
        <v>732.08</v>
      </c>
      <c r="K423">
        <f>amazon_store_sales_2022__1[[#This Row],[Total ]]*amazon_store_sales_2022__1[[#This Row],[Discount]]</f>
        <v>190.34080000000003</v>
      </c>
      <c r="L423" s="13">
        <f>amazon_store_sales_2022__1[[#This Row],[Total ]]-amazon_store_sales_2022__1[[#This Row],[Total Discount]]</f>
        <v>541.73919999999998</v>
      </c>
      <c r="M423">
        <f>YEAR(amazon_store_sales_2022__1[[#This Row],[OrderDate]])</f>
        <v>2023</v>
      </c>
      <c r="N423" t="str" cm="1">
        <f t="array" ref="N423">_xlfn.IFS(L423&lt;500," VeryLow",L423&lt;1000,"Low",L423&lt;2000,"Medium",L423&lt;3000,"High",L423&lt;5000,"VeryHigh")</f>
        <v>Low</v>
      </c>
      <c r="O423" t="str" cm="1">
        <f t="array" ref="O423">_xlfn.IFS(G423&lt;0.09,"Low",G423&lt;0.2,"Medium",G423&lt;0.4,"High")</f>
        <v>High</v>
      </c>
    </row>
    <row r="424" spans="1:15" x14ac:dyDescent="0.3">
      <c r="A424">
        <v>10423</v>
      </c>
      <c r="B424" s="1">
        <v>44984</v>
      </c>
      <c r="C424">
        <v>2045</v>
      </c>
      <c r="D424" t="s">
        <v>19</v>
      </c>
      <c r="E424">
        <v>2</v>
      </c>
      <c r="F424">
        <v>183.58</v>
      </c>
      <c r="G424">
        <v>0.14000000000000001</v>
      </c>
      <c r="H424" t="s">
        <v>13</v>
      </c>
      <c r="I424" t="s">
        <v>11</v>
      </c>
      <c r="J424">
        <f>amazon_store_sales_2022__1[[#This Row],[UnitPrice]]*amazon_store_sales_2022__1[[#This Row],[Quantity]]</f>
        <v>367.16</v>
      </c>
      <c r="K424">
        <f>amazon_store_sales_2022__1[[#This Row],[Total ]]*amazon_store_sales_2022__1[[#This Row],[Discount]]</f>
        <v>51.402400000000007</v>
      </c>
      <c r="L424" s="13">
        <f>amazon_store_sales_2022__1[[#This Row],[Total ]]-amazon_store_sales_2022__1[[#This Row],[Total Discount]]</f>
        <v>315.75760000000002</v>
      </c>
      <c r="M424">
        <f>YEAR(amazon_store_sales_2022__1[[#This Row],[OrderDate]])</f>
        <v>2023</v>
      </c>
      <c r="N424" t="str" cm="1">
        <f t="array" ref="N424">_xlfn.IFS(L424&lt;500," VeryLow",L424&lt;1000,"Low",L424&lt;2000,"Medium",L424&lt;3000,"High",L424&lt;5000,"VeryHigh")</f>
        <v xml:space="preserve"> VeryLow</v>
      </c>
      <c r="O424" t="str" cm="1">
        <f t="array" ref="O424">_xlfn.IFS(G424&lt;0.09,"Low",G424&lt;0.2,"Medium",G424&lt;0.4,"High")</f>
        <v>Medium</v>
      </c>
    </row>
    <row r="425" spans="1:15" x14ac:dyDescent="0.3">
      <c r="A425">
        <v>10424</v>
      </c>
      <c r="B425" s="1">
        <v>44985</v>
      </c>
      <c r="C425">
        <v>2020</v>
      </c>
      <c r="D425" t="s">
        <v>9</v>
      </c>
      <c r="E425">
        <v>4</v>
      </c>
      <c r="F425">
        <v>453.42</v>
      </c>
      <c r="G425">
        <v>0.22</v>
      </c>
      <c r="H425" t="s">
        <v>10</v>
      </c>
      <c r="I425" t="s">
        <v>18</v>
      </c>
      <c r="J425">
        <f>amazon_store_sales_2022__1[[#This Row],[UnitPrice]]*amazon_store_sales_2022__1[[#This Row],[Quantity]]</f>
        <v>1813.68</v>
      </c>
      <c r="K425">
        <f>amazon_store_sales_2022__1[[#This Row],[Total ]]*amazon_store_sales_2022__1[[#This Row],[Discount]]</f>
        <v>399.00960000000003</v>
      </c>
      <c r="L425" s="13">
        <f>amazon_store_sales_2022__1[[#This Row],[Total ]]-amazon_store_sales_2022__1[[#This Row],[Total Discount]]</f>
        <v>1414.6704</v>
      </c>
      <c r="M425">
        <f>YEAR(amazon_store_sales_2022__1[[#This Row],[OrderDate]])</f>
        <v>2023</v>
      </c>
      <c r="N425" t="str" cm="1">
        <f t="array" ref="N425">_xlfn.IFS(L425&lt;500," VeryLow",L425&lt;1000,"Low",L425&lt;2000,"Medium",L425&lt;3000,"High",L425&lt;5000,"VeryHigh")</f>
        <v>Medium</v>
      </c>
      <c r="O425" t="str" cm="1">
        <f t="array" ref="O425">_xlfn.IFS(G425&lt;0.09,"Low",G425&lt;0.2,"Medium",G425&lt;0.4,"High")</f>
        <v>High</v>
      </c>
    </row>
    <row r="426" spans="1:15" x14ac:dyDescent="0.3">
      <c r="A426">
        <v>10425</v>
      </c>
      <c r="B426" s="1">
        <v>44986</v>
      </c>
      <c r="C426">
        <v>2065</v>
      </c>
      <c r="D426" t="s">
        <v>12</v>
      </c>
      <c r="E426">
        <v>2</v>
      </c>
      <c r="F426">
        <v>386.12</v>
      </c>
      <c r="G426">
        <v>0.09</v>
      </c>
      <c r="H426" t="s">
        <v>13</v>
      </c>
      <c r="I426" t="s">
        <v>11</v>
      </c>
      <c r="J426">
        <f>amazon_store_sales_2022__1[[#This Row],[UnitPrice]]*amazon_store_sales_2022__1[[#This Row],[Quantity]]</f>
        <v>772.24</v>
      </c>
      <c r="K426">
        <f>amazon_store_sales_2022__1[[#This Row],[Total ]]*amazon_store_sales_2022__1[[#This Row],[Discount]]</f>
        <v>69.501599999999996</v>
      </c>
      <c r="L426" s="13">
        <f>amazon_store_sales_2022__1[[#This Row],[Total ]]-amazon_store_sales_2022__1[[#This Row],[Total Discount]]</f>
        <v>702.73839999999996</v>
      </c>
      <c r="M426">
        <f>YEAR(amazon_store_sales_2022__1[[#This Row],[OrderDate]])</f>
        <v>2023</v>
      </c>
      <c r="N426" t="str" cm="1">
        <f t="array" ref="N426">_xlfn.IFS(L426&lt;500," VeryLow",L426&lt;1000,"Low",L426&lt;2000,"Medium",L426&lt;3000,"High",L426&lt;5000,"VeryHigh")</f>
        <v>Low</v>
      </c>
      <c r="O426" t="str" cm="1">
        <f t="array" ref="O426">_xlfn.IFS(G426&lt;0.09,"Low",G426&lt;0.2,"Medium",G426&lt;0.4,"High")</f>
        <v>Medium</v>
      </c>
    </row>
    <row r="427" spans="1:15" x14ac:dyDescent="0.3">
      <c r="A427">
        <v>10426</v>
      </c>
      <c r="B427" s="1">
        <v>44987</v>
      </c>
      <c r="C427">
        <v>2008</v>
      </c>
      <c r="D427" t="s">
        <v>14</v>
      </c>
      <c r="E427">
        <v>5</v>
      </c>
      <c r="F427">
        <v>280.54000000000002</v>
      </c>
      <c r="G427">
        <v>0.24</v>
      </c>
      <c r="H427" t="s">
        <v>10</v>
      </c>
      <c r="I427" t="s">
        <v>18</v>
      </c>
      <c r="J427">
        <f>amazon_store_sales_2022__1[[#This Row],[UnitPrice]]*amazon_store_sales_2022__1[[#This Row],[Quantity]]</f>
        <v>1402.7</v>
      </c>
      <c r="K427">
        <f>amazon_store_sales_2022__1[[#This Row],[Total ]]*amazon_store_sales_2022__1[[#This Row],[Discount]]</f>
        <v>336.64800000000002</v>
      </c>
      <c r="L427" s="13">
        <f>amazon_store_sales_2022__1[[#This Row],[Total ]]-amazon_store_sales_2022__1[[#This Row],[Total Discount]]</f>
        <v>1066.0520000000001</v>
      </c>
      <c r="M427">
        <f>YEAR(amazon_store_sales_2022__1[[#This Row],[OrderDate]])</f>
        <v>2023</v>
      </c>
      <c r="N427" t="str" cm="1">
        <f t="array" ref="N427">_xlfn.IFS(L427&lt;500," VeryLow",L427&lt;1000,"Low",L427&lt;2000,"Medium",L427&lt;3000,"High",L427&lt;5000,"VeryHigh")</f>
        <v>Medium</v>
      </c>
      <c r="O427" t="str" cm="1">
        <f t="array" ref="O427">_xlfn.IFS(G427&lt;0.09,"Low",G427&lt;0.2,"Medium",G427&lt;0.4,"High")</f>
        <v>High</v>
      </c>
    </row>
    <row r="428" spans="1:15" x14ac:dyDescent="0.3">
      <c r="A428">
        <v>10427</v>
      </c>
      <c r="B428" s="1">
        <v>44988</v>
      </c>
      <c r="C428">
        <v>2016</v>
      </c>
      <c r="D428" t="s">
        <v>19</v>
      </c>
      <c r="E428">
        <v>9</v>
      </c>
      <c r="F428">
        <v>131.54</v>
      </c>
      <c r="G428">
        <v>0.03</v>
      </c>
      <c r="H428" t="s">
        <v>15</v>
      </c>
      <c r="I428" t="s">
        <v>18</v>
      </c>
      <c r="J428">
        <f>amazon_store_sales_2022__1[[#This Row],[UnitPrice]]*amazon_store_sales_2022__1[[#This Row],[Quantity]]</f>
        <v>1183.8599999999999</v>
      </c>
      <c r="K428">
        <f>amazon_store_sales_2022__1[[#This Row],[Total ]]*amazon_store_sales_2022__1[[#This Row],[Discount]]</f>
        <v>35.515799999999999</v>
      </c>
      <c r="L428" s="13">
        <f>amazon_store_sales_2022__1[[#This Row],[Total ]]-amazon_store_sales_2022__1[[#This Row],[Total Discount]]</f>
        <v>1148.3442</v>
      </c>
      <c r="M428">
        <f>YEAR(amazon_store_sales_2022__1[[#This Row],[OrderDate]])</f>
        <v>2023</v>
      </c>
      <c r="N428" t="str" cm="1">
        <f t="array" ref="N428">_xlfn.IFS(L428&lt;500," VeryLow",L428&lt;1000,"Low",L428&lt;2000,"Medium",L428&lt;3000,"High",L428&lt;5000,"VeryHigh")</f>
        <v>Medium</v>
      </c>
      <c r="O428" t="str" cm="1">
        <f t="array" ref="O428">_xlfn.IFS(G428&lt;0.09,"Low",G428&lt;0.2,"Medium",G428&lt;0.4,"High")</f>
        <v>Low</v>
      </c>
    </row>
    <row r="429" spans="1:15" x14ac:dyDescent="0.3">
      <c r="A429">
        <v>10428</v>
      </c>
      <c r="B429" s="1">
        <v>44989</v>
      </c>
      <c r="C429">
        <v>2014</v>
      </c>
      <c r="D429" t="s">
        <v>16</v>
      </c>
      <c r="E429">
        <v>1</v>
      </c>
      <c r="F429">
        <v>154.52000000000001</v>
      </c>
      <c r="G429">
        <v>0.11</v>
      </c>
      <c r="H429" t="s">
        <v>15</v>
      </c>
      <c r="I429" t="s">
        <v>18</v>
      </c>
      <c r="J429">
        <f>amazon_store_sales_2022__1[[#This Row],[UnitPrice]]*amazon_store_sales_2022__1[[#This Row],[Quantity]]</f>
        <v>154.52000000000001</v>
      </c>
      <c r="K429">
        <f>amazon_store_sales_2022__1[[#This Row],[Total ]]*amazon_store_sales_2022__1[[#This Row],[Discount]]</f>
        <v>16.997200000000003</v>
      </c>
      <c r="L429" s="13">
        <f>amazon_store_sales_2022__1[[#This Row],[Total ]]-amazon_store_sales_2022__1[[#This Row],[Total Discount]]</f>
        <v>137.52280000000002</v>
      </c>
      <c r="M429">
        <f>YEAR(amazon_store_sales_2022__1[[#This Row],[OrderDate]])</f>
        <v>2023</v>
      </c>
      <c r="N429" t="str" cm="1">
        <f t="array" ref="N429">_xlfn.IFS(L429&lt;500," VeryLow",L429&lt;1000,"Low",L429&lt;2000,"Medium",L429&lt;3000,"High",L429&lt;5000,"VeryHigh")</f>
        <v xml:space="preserve"> VeryLow</v>
      </c>
      <c r="O429" t="str" cm="1">
        <f t="array" ref="O429">_xlfn.IFS(G429&lt;0.09,"Low",G429&lt;0.2,"Medium",G429&lt;0.4,"High")</f>
        <v>Medium</v>
      </c>
    </row>
    <row r="430" spans="1:15" x14ac:dyDescent="0.3">
      <c r="A430">
        <v>10429</v>
      </c>
      <c r="B430" s="1">
        <v>44990</v>
      </c>
      <c r="C430">
        <v>2076</v>
      </c>
      <c r="D430" t="s">
        <v>12</v>
      </c>
      <c r="E430">
        <v>5</v>
      </c>
      <c r="F430">
        <v>367.32</v>
      </c>
      <c r="G430">
        <v>0.28999999999999998</v>
      </c>
      <c r="H430" t="s">
        <v>10</v>
      </c>
      <c r="I430" t="s">
        <v>11</v>
      </c>
      <c r="J430">
        <f>amazon_store_sales_2022__1[[#This Row],[UnitPrice]]*amazon_store_sales_2022__1[[#This Row],[Quantity]]</f>
        <v>1836.6</v>
      </c>
      <c r="K430">
        <f>amazon_store_sales_2022__1[[#This Row],[Total ]]*amazon_store_sales_2022__1[[#This Row],[Discount]]</f>
        <v>532.61399999999992</v>
      </c>
      <c r="L430" s="13">
        <f>amazon_store_sales_2022__1[[#This Row],[Total ]]-amazon_store_sales_2022__1[[#This Row],[Total Discount]]</f>
        <v>1303.9859999999999</v>
      </c>
      <c r="M430">
        <f>YEAR(amazon_store_sales_2022__1[[#This Row],[OrderDate]])</f>
        <v>2023</v>
      </c>
      <c r="N430" t="str" cm="1">
        <f t="array" ref="N430">_xlfn.IFS(L430&lt;500," VeryLow",L430&lt;1000,"Low",L430&lt;2000,"Medium",L430&lt;3000,"High",L430&lt;5000,"VeryHigh")</f>
        <v>Medium</v>
      </c>
      <c r="O430" t="str" cm="1">
        <f t="array" ref="O430">_xlfn.IFS(G430&lt;0.09,"Low",G430&lt;0.2,"Medium",G430&lt;0.4,"High")</f>
        <v>High</v>
      </c>
    </row>
    <row r="431" spans="1:15" x14ac:dyDescent="0.3">
      <c r="A431">
        <v>10430</v>
      </c>
      <c r="B431" s="1">
        <v>44991</v>
      </c>
      <c r="C431">
        <v>2087</v>
      </c>
      <c r="D431" t="s">
        <v>9</v>
      </c>
      <c r="E431">
        <v>9</v>
      </c>
      <c r="F431">
        <v>426.33</v>
      </c>
      <c r="G431">
        <v>0.24</v>
      </c>
      <c r="H431" t="s">
        <v>17</v>
      </c>
      <c r="I431" t="s">
        <v>18</v>
      </c>
      <c r="J431">
        <f>amazon_store_sales_2022__1[[#This Row],[UnitPrice]]*amazon_store_sales_2022__1[[#This Row],[Quantity]]</f>
        <v>3836.97</v>
      </c>
      <c r="K431">
        <f>amazon_store_sales_2022__1[[#This Row],[Total ]]*amazon_store_sales_2022__1[[#This Row],[Discount]]</f>
        <v>920.87279999999987</v>
      </c>
      <c r="L431" s="13">
        <f>amazon_store_sales_2022__1[[#This Row],[Total ]]-amazon_store_sales_2022__1[[#This Row],[Total Discount]]</f>
        <v>2916.0972000000002</v>
      </c>
      <c r="M431">
        <f>YEAR(amazon_store_sales_2022__1[[#This Row],[OrderDate]])</f>
        <v>2023</v>
      </c>
      <c r="N431" t="str" cm="1">
        <f t="array" ref="N431">_xlfn.IFS(L431&lt;500," VeryLow",L431&lt;1000,"Low",L431&lt;2000,"Medium",L431&lt;3000,"High",L431&lt;5000,"VeryHigh")</f>
        <v>High</v>
      </c>
      <c r="O431" t="str" cm="1">
        <f t="array" ref="O431">_xlfn.IFS(G431&lt;0.09,"Low",G431&lt;0.2,"Medium",G431&lt;0.4,"High")</f>
        <v>High</v>
      </c>
    </row>
    <row r="432" spans="1:15" x14ac:dyDescent="0.3">
      <c r="A432">
        <v>10431</v>
      </c>
      <c r="B432" s="1">
        <v>44992</v>
      </c>
      <c r="C432">
        <v>2015</v>
      </c>
      <c r="D432" t="s">
        <v>12</v>
      </c>
      <c r="E432">
        <v>1</v>
      </c>
      <c r="F432">
        <v>337.36</v>
      </c>
      <c r="G432">
        <v>0.15</v>
      </c>
      <c r="H432" t="s">
        <v>13</v>
      </c>
      <c r="I432" t="s">
        <v>18</v>
      </c>
      <c r="J432">
        <f>amazon_store_sales_2022__1[[#This Row],[UnitPrice]]*amazon_store_sales_2022__1[[#This Row],[Quantity]]</f>
        <v>337.36</v>
      </c>
      <c r="K432">
        <f>amazon_store_sales_2022__1[[#This Row],[Total ]]*amazon_store_sales_2022__1[[#This Row],[Discount]]</f>
        <v>50.603999999999999</v>
      </c>
      <c r="L432" s="13">
        <f>amazon_store_sales_2022__1[[#This Row],[Total ]]-amazon_store_sales_2022__1[[#This Row],[Total Discount]]</f>
        <v>286.75600000000003</v>
      </c>
      <c r="M432">
        <f>YEAR(amazon_store_sales_2022__1[[#This Row],[OrderDate]])</f>
        <v>2023</v>
      </c>
      <c r="N432" t="str" cm="1">
        <f t="array" ref="N432">_xlfn.IFS(L432&lt;500," VeryLow",L432&lt;1000,"Low",L432&lt;2000,"Medium",L432&lt;3000,"High",L432&lt;5000,"VeryHigh")</f>
        <v xml:space="preserve"> VeryLow</v>
      </c>
      <c r="O432" t="str" cm="1">
        <f t="array" ref="O432">_xlfn.IFS(G432&lt;0.09,"Low",G432&lt;0.2,"Medium",G432&lt;0.4,"High")</f>
        <v>Medium</v>
      </c>
    </row>
    <row r="433" spans="1:15" x14ac:dyDescent="0.3">
      <c r="A433">
        <v>10432</v>
      </c>
      <c r="B433" s="1">
        <v>44993</v>
      </c>
      <c r="C433">
        <v>2092</v>
      </c>
      <c r="D433" t="s">
        <v>19</v>
      </c>
      <c r="E433">
        <v>9</v>
      </c>
      <c r="F433">
        <v>405.72</v>
      </c>
      <c r="G433">
        <v>0.1</v>
      </c>
      <c r="H433" t="s">
        <v>13</v>
      </c>
      <c r="I433" t="s">
        <v>11</v>
      </c>
      <c r="J433">
        <f>amazon_store_sales_2022__1[[#This Row],[UnitPrice]]*amazon_store_sales_2022__1[[#This Row],[Quantity]]</f>
        <v>3651.4800000000005</v>
      </c>
      <c r="K433">
        <f>amazon_store_sales_2022__1[[#This Row],[Total ]]*amazon_store_sales_2022__1[[#This Row],[Discount]]</f>
        <v>365.14800000000008</v>
      </c>
      <c r="L433" s="13">
        <f>amazon_store_sales_2022__1[[#This Row],[Total ]]-amazon_store_sales_2022__1[[#This Row],[Total Discount]]</f>
        <v>3286.3320000000003</v>
      </c>
      <c r="M433">
        <f>YEAR(amazon_store_sales_2022__1[[#This Row],[OrderDate]])</f>
        <v>2023</v>
      </c>
      <c r="N433" t="str" cm="1">
        <f t="array" ref="N433">_xlfn.IFS(L433&lt;500," VeryLow",L433&lt;1000,"Low",L433&lt;2000,"Medium",L433&lt;3000,"High",L433&lt;5000,"VeryHigh")</f>
        <v>VeryHigh</v>
      </c>
      <c r="O433" t="str" cm="1">
        <f t="array" ref="O433">_xlfn.IFS(G433&lt;0.09,"Low",G433&lt;0.2,"Medium",G433&lt;0.4,"High")</f>
        <v>Medium</v>
      </c>
    </row>
    <row r="434" spans="1:15" x14ac:dyDescent="0.3">
      <c r="A434">
        <v>10433</v>
      </c>
      <c r="B434" s="1">
        <v>44994</v>
      </c>
      <c r="C434">
        <v>2098</v>
      </c>
      <c r="D434" t="s">
        <v>9</v>
      </c>
      <c r="E434">
        <v>8</v>
      </c>
      <c r="F434">
        <v>384.49</v>
      </c>
      <c r="G434">
        <v>0.26</v>
      </c>
      <c r="H434" t="s">
        <v>15</v>
      </c>
      <c r="I434" t="s">
        <v>18</v>
      </c>
      <c r="J434">
        <f>amazon_store_sales_2022__1[[#This Row],[UnitPrice]]*amazon_store_sales_2022__1[[#This Row],[Quantity]]</f>
        <v>3075.92</v>
      </c>
      <c r="K434">
        <f>amazon_store_sales_2022__1[[#This Row],[Total ]]*amazon_store_sales_2022__1[[#This Row],[Discount]]</f>
        <v>799.7392000000001</v>
      </c>
      <c r="L434" s="13">
        <f>amazon_store_sales_2022__1[[#This Row],[Total ]]-amazon_store_sales_2022__1[[#This Row],[Total Discount]]</f>
        <v>2276.1808000000001</v>
      </c>
      <c r="M434">
        <f>YEAR(amazon_store_sales_2022__1[[#This Row],[OrderDate]])</f>
        <v>2023</v>
      </c>
      <c r="N434" t="str" cm="1">
        <f t="array" ref="N434">_xlfn.IFS(L434&lt;500," VeryLow",L434&lt;1000,"Low",L434&lt;2000,"Medium",L434&lt;3000,"High",L434&lt;5000,"VeryHigh")</f>
        <v>High</v>
      </c>
      <c r="O434" t="str" cm="1">
        <f t="array" ref="O434">_xlfn.IFS(G434&lt;0.09,"Low",G434&lt;0.2,"Medium",G434&lt;0.4,"High")</f>
        <v>High</v>
      </c>
    </row>
    <row r="435" spans="1:15" x14ac:dyDescent="0.3">
      <c r="A435">
        <v>10434</v>
      </c>
      <c r="B435" s="1">
        <v>44995</v>
      </c>
      <c r="C435">
        <v>2066</v>
      </c>
      <c r="D435" t="s">
        <v>14</v>
      </c>
      <c r="E435">
        <v>4</v>
      </c>
      <c r="F435">
        <v>79.099999999999994</v>
      </c>
      <c r="G435">
        <v>0.16</v>
      </c>
      <c r="H435" t="s">
        <v>10</v>
      </c>
      <c r="I435" t="s">
        <v>11</v>
      </c>
      <c r="J435">
        <f>amazon_store_sales_2022__1[[#This Row],[UnitPrice]]*amazon_store_sales_2022__1[[#This Row],[Quantity]]</f>
        <v>316.39999999999998</v>
      </c>
      <c r="K435">
        <f>amazon_store_sales_2022__1[[#This Row],[Total ]]*amazon_store_sales_2022__1[[#This Row],[Discount]]</f>
        <v>50.623999999999995</v>
      </c>
      <c r="L435" s="13">
        <f>amazon_store_sales_2022__1[[#This Row],[Total ]]-amazon_store_sales_2022__1[[#This Row],[Total Discount]]</f>
        <v>265.77599999999995</v>
      </c>
      <c r="M435">
        <f>YEAR(amazon_store_sales_2022__1[[#This Row],[OrderDate]])</f>
        <v>2023</v>
      </c>
      <c r="N435" t="str" cm="1">
        <f t="array" ref="N435">_xlfn.IFS(L435&lt;500," VeryLow",L435&lt;1000,"Low",L435&lt;2000,"Medium",L435&lt;3000,"High",L435&lt;5000,"VeryHigh")</f>
        <v xml:space="preserve"> VeryLow</v>
      </c>
      <c r="O435" t="str" cm="1">
        <f t="array" ref="O435">_xlfn.IFS(G435&lt;0.09,"Low",G435&lt;0.2,"Medium",G435&lt;0.4,"High")</f>
        <v>Medium</v>
      </c>
    </row>
    <row r="436" spans="1:15" x14ac:dyDescent="0.3">
      <c r="A436">
        <v>10435</v>
      </c>
      <c r="B436" s="1">
        <v>44996</v>
      </c>
      <c r="C436">
        <v>2032</v>
      </c>
      <c r="D436" t="s">
        <v>12</v>
      </c>
      <c r="E436">
        <v>5</v>
      </c>
      <c r="F436">
        <v>214.85</v>
      </c>
      <c r="G436">
        <v>0.23</v>
      </c>
      <c r="H436" t="s">
        <v>13</v>
      </c>
      <c r="I436" t="s">
        <v>11</v>
      </c>
      <c r="J436">
        <f>amazon_store_sales_2022__1[[#This Row],[UnitPrice]]*amazon_store_sales_2022__1[[#This Row],[Quantity]]</f>
        <v>1074.25</v>
      </c>
      <c r="K436">
        <f>amazon_store_sales_2022__1[[#This Row],[Total ]]*amazon_store_sales_2022__1[[#This Row],[Discount]]</f>
        <v>247.07750000000001</v>
      </c>
      <c r="L436" s="13">
        <f>amazon_store_sales_2022__1[[#This Row],[Total ]]-amazon_store_sales_2022__1[[#This Row],[Total Discount]]</f>
        <v>827.17250000000001</v>
      </c>
      <c r="M436">
        <f>YEAR(amazon_store_sales_2022__1[[#This Row],[OrderDate]])</f>
        <v>2023</v>
      </c>
      <c r="N436" t="str" cm="1">
        <f t="array" ref="N436">_xlfn.IFS(L436&lt;500," VeryLow",L436&lt;1000,"Low",L436&lt;2000,"Medium",L436&lt;3000,"High",L436&lt;5000,"VeryHigh")</f>
        <v>Low</v>
      </c>
      <c r="O436" t="str" cm="1">
        <f t="array" ref="O436">_xlfn.IFS(G436&lt;0.09,"Low",G436&lt;0.2,"Medium",G436&lt;0.4,"High")</f>
        <v>High</v>
      </c>
    </row>
    <row r="437" spans="1:15" x14ac:dyDescent="0.3">
      <c r="A437">
        <v>10436</v>
      </c>
      <c r="B437" s="1">
        <v>44997</v>
      </c>
      <c r="C437">
        <v>2087</v>
      </c>
      <c r="D437" t="s">
        <v>19</v>
      </c>
      <c r="E437">
        <v>5</v>
      </c>
      <c r="F437">
        <v>80.73</v>
      </c>
      <c r="G437">
        <v>0.23</v>
      </c>
      <c r="H437" t="s">
        <v>13</v>
      </c>
      <c r="I437" t="s">
        <v>11</v>
      </c>
      <c r="J437">
        <f>amazon_store_sales_2022__1[[#This Row],[UnitPrice]]*amazon_store_sales_2022__1[[#This Row],[Quantity]]</f>
        <v>403.65000000000003</v>
      </c>
      <c r="K437">
        <f>amazon_store_sales_2022__1[[#This Row],[Total ]]*amazon_store_sales_2022__1[[#This Row],[Discount]]</f>
        <v>92.839500000000015</v>
      </c>
      <c r="L437" s="13">
        <f>amazon_store_sales_2022__1[[#This Row],[Total ]]-amazon_store_sales_2022__1[[#This Row],[Total Discount]]</f>
        <v>310.81050000000005</v>
      </c>
      <c r="M437">
        <f>YEAR(amazon_store_sales_2022__1[[#This Row],[OrderDate]])</f>
        <v>2023</v>
      </c>
      <c r="N437" t="str" cm="1">
        <f t="array" ref="N437">_xlfn.IFS(L437&lt;500," VeryLow",L437&lt;1000,"Low",L437&lt;2000,"Medium",L437&lt;3000,"High",L437&lt;5000,"VeryHigh")</f>
        <v xml:space="preserve"> VeryLow</v>
      </c>
      <c r="O437" t="str" cm="1">
        <f t="array" ref="O437">_xlfn.IFS(G437&lt;0.09,"Low",G437&lt;0.2,"Medium",G437&lt;0.4,"High")</f>
        <v>High</v>
      </c>
    </row>
    <row r="438" spans="1:15" x14ac:dyDescent="0.3">
      <c r="A438">
        <v>10437</v>
      </c>
      <c r="B438" s="1">
        <v>44998</v>
      </c>
      <c r="C438">
        <v>2063</v>
      </c>
      <c r="D438" t="s">
        <v>16</v>
      </c>
      <c r="E438">
        <v>6</v>
      </c>
      <c r="F438">
        <v>121.44</v>
      </c>
      <c r="G438">
        <v>0.01</v>
      </c>
      <c r="H438" t="s">
        <v>17</v>
      </c>
      <c r="I438" t="s">
        <v>11</v>
      </c>
      <c r="J438">
        <f>amazon_store_sales_2022__1[[#This Row],[UnitPrice]]*amazon_store_sales_2022__1[[#This Row],[Quantity]]</f>
        <v>728.64</v>
      </c>
      <c r="K438">
        <f>amazon_store_sales_2022__1[[#This Row],[Total ]]*amazon_store_sales_2022__1[[#This Row],[Discount]]</f>
        <v>7.2864000000000004</v>
      </c>
      <c r="L438" s="13">
        <f>amazon_store_sales_2022__1[[#This Row],[Total ]]-amazon_store_sales_2022__1[[#This Row],[Total Discount]]</f>
        <v>721.35360000000003</v>
      </c>
      <c r="M438">
        <f>YEAR(amazon_store_sales_2022__1[[#This Row],[OrderDate]])</f>
        <v>2023</v>
      </c>
      <c r="N438" t="str" cm="1">
        <f t="array" ref="N438">_xlfn.IFS(L438&lt;500," VeryLow",L438&lt;1000,"Low",L438&lt;2000,"Medium",L438&lt;3000,"High",L438&lt;5000,"VeryHigh")</f>
        <v>Low</v>
      </c>
      <c r="O438" t="str" cm="1">
        <f t="array" ref="O438">_xlfn.IFS(G438&lt;0.09,"Low",G438&lt;0.2,"Medium",G438&lt;0.4,"High")</f>
        <v>Low</v>
      </c>
    </row>
    <row r="439" spans="1:15" x14ac:dyDescent="0.3">
      <c r="A439">
        <v>10438</v>
      </c>
      <c r="B439" s="1">
        <v>44999</v>
      </c>
      <c r="C439">
        <v>2086</v>
      </c>
      <c r="D439" t="s">
        <v>9</v>
      </c>
      <c r="E439">
        <v>7</v>
      </c>
      <c r="F439">
        <v>435.28</v>
      </c>
      <c r="G439">
        <v>0.04</v>
      </c>
      <c r="H439" t="s">
        <v>20</v>
      </c>
      <c r="I439" t="s">
        <v>18</v>
      </c>
      <c r="J439">
        <f>amazon_store_sales_2022__1[[#This Row],[UnitPrice]]*amazon_store_sales_2022__1[[#This Row],[Quantity]]</f>
        <v>3046.96</v>
      </c>
      <c r="K439">
        <f>amazon_store_sales_2022__1[[#This Row],[Total ]]*amazon_store_sales_2022__1[[#This Row],[Discount]]</f>
        <v>121.8784</v>
      </c>
      <c r="L439" s="13">
        <f>amazon_store_sales_2022__1[[#This Row],[Total ]]-amazon_store_sales_2022__1[[#This Row],[Total Discount]]</f>
        <v>2925.0816</v>
      </c>
      <c r="M439">
        <f>YEAR(amazon_store_sales_2022__1[[#This Row],[OrderDate]])</f>
        <v>2023</v>
      </c>
      <c r="N439" t="str" cm="1">
        <f t="array" ref="N439">_xlfn.IFS(L439&lt;500," VeryLow",L439&lt;1000,"Low",L439&lt;2000,"Medium",L439&lt;3000,"High",L439&lt;5000,"VeryHigh")</f>
        <v>High</v>
      </c>
      <c r="O439" t="str" cm="1">
        <f t="array" ref="O439">_xlfn.IFS(G439&lt;0.09,"Low",G439&lt;0.2,"Medium",G439&lt;0.4,"High")</f>
        <v>Low</v>
      </c>
    </row>
    <row r="440" spans="1:15" x14ac:dyDescent="0.3">
      <c r="A440">
        <v>10439</v>
      </c>
      <c r="B440" s="1">
        <v>45000</v>
      </c>
      <c r="C440">
        <v>2051</v>
      </c>
      <c r="D440" t="s">
        <v>12</v>
      </c>
      <c r="E440">
        <v>8</v>
      </c>
      <c r="F440">
        <v>239.08</v>
      </c>
      <c r="G440">
        <v>0.2</v>
      </c>
      <c r="H440" t="s">
        <v>15</v>
      </c>
      <c r="I440" t="s">
        <v>18</v>
      </c>
      <c r="J440">
        <f>amazon_store_sales_2022__1[[#This Row],[UnitPrice]]*amazon_store_sales_2022__1[[#This Row],[Quantity]]</f>
        <v>1912.64</v>
      </c>
      <c r="K440">
        <f>amazon_store_sales_2022__1[[#This Row],[Total ]]*amazon_store_sales_2022__1[[#This Row],[Discount]]</f>
        <v>382.52800000000002</v>
      </c>
      <c r="L440" s="13">
        <f>amazon_store_sales_2022__1[[#This Row],[Total ]]-amazon_store_sales_2022__1[[#This Row],[Total Discount]]</f>
        <v>1530.1120000000001</v>
      </c>
      <c r="M440">
        <f>YEAR(amazon_store_sales_2022__1[[#This Row],[OrderDate]])</f>
        <v>2023</v>
      </c>
      <c r="N440" t="str" cm="1">
        <f t="array" ref="N440">_xlfn.IFS(L440&lt;500," VeryLow",L440&lt;1000,"Low",L440&lt;2000,"Medium",L440&lt;3000,"High",L440&lt;5000,"VeryHigh")</f>
        <v>Medium</v>
      </c>
      <c r="O440" t="str" cm="1">
        <f t="array" ref="O440">_xlfn.IFS(G440&lt;0.09,"Low",G440&lt;0.2,"Medium",G440&lt;0.4,"High")</f>
        <v>High</v>
      </c>
    </row>
    <row r="441" spans="1:15" x14ac:dyDescent="0.3">
      <c r="A441">
        <v>10440</v>
      </c>
      <c r="B441" s="1">
        <v>45001</v>
      </c>
      <c r="C441">
        <v>2025</v>
      </c>
      <c r="D441" t="s">
        <v>12</v>
      </c>
      <c r="E441">
        <v>8</v>
      </c>
      <c r="F441">
        <v>270</v>
      </c>
      <c r="G441">
        <v>0.05</v>
      </c>
      <c r="H441" t="s">
        <v>15</v>
      </c>
      <c r="I441" t="s">
        <v>18</v>
      </c>
      <c r="J441">
        <f>amazon_store_sales_2022__1[[#This Row],[UnitPrice]]*amazon_store_sales_2022__1[[#This Row],[Quantity]]</f>
        <v>2160</v>
      </c>
      <c r="K441">
        <f>amazon_store_sales_2022__1[[#This Row],[Total ]]*amazon_store_sales_2022__1[[#This Row],[Discount]]</f>
        <v>108</v>
      </c>
      <c r="L441" s="13">
        <f>amazon_store_sales_2022__1[[#This Row],[Total ]]-amazon_store_sales_2022__1[[#This Row],[Total Discount]]</f>
        <v>2052</v>
      </c>
      <c r="M441">
        <f>YEAR(amazon_store_sales_2022__1[[#This Row],[OrderDate]])</f>
        <v>2023</v>
      </c>
      <c r="N441" t="str" cm="1">
        <f t="array" ref="N441">_xlfn.IFS(L441&lt;500," VeryLow",L441&lt;1000,"Low",L441&lt;2000,"Medium",L441&lt;3000,"High",L441&lt;5000,"VeryHigh")</f>
        <v>High</v>
      </c>
      <c r="O441" t="str" cm="1">
        <f t="array" ref="O441">_xlfn.IFS(G441&lt;0.09,"Low",G441&lt;0.2,"Medium",G441&lt;0.4,"High")</f>
        <v>Low</v>
      </c>
    </row>
    <row r="442" spans="1:15" x14ac:dyDescent="0.3">
      <c r="A442">
        <v>10441</v>
      </c>
      <c r="B442" s="1">
        <v>45002</v>
      </c>
      <c r="C442">
        <v>2058</v>
      </c>
      <c r="D442" t="s">
        <v>14</v>
      </c>
      <c r="E442">
        <v>2</v>
      </c>
      <c r="F442">
        <v>93.33</v>
      </c>
      <c r="G442">
        <v>0.08</v>
      </c>
      <c r="H442" t="s">
        <v>20</v>
      </c>
      <c r="I442" t="s">
        <v>18</v>
      </c>
      <c r="J442">
        <f>amazon_store_sales_2022__1[[#This Row],[UnitPrice]]*amazon_store_sales_2022__1[[#This Row],[Quantity]]</f>
        <v>186.66</v>
      </c>
      <c r="K442">
        <f>amazon_store_sales_2022__1[[#This Row],[Total ]]*amazon_store_sales_2022__1[[#This Row],[Discount]]</f>
        <v>14.9328</v>
      </c>
      <c r="L442" s="13">
        <f>amazon_store_sales_2022__1[[#This Row],[Total ]]-amazon_store_sales_2022__1[[#This Row],[Total Discount]]</f>
        <v>171.72719999999998</v>
      </c>
      <c r="M442">
        <f>YEAR(amazon_store_sales_2022__1[[#This Row],[OrderDate]])</f>
        <v>2023</v>
      </c>
      <c r="N442" t="str" cm="1">
        <f t="array" ref="N442">_xlfn.IFS(L442&lt;500," VeryLow",L442&lt;1000,"Low",L442&lt;2000,"Medium",L442&lt;3000,"High",L442&lt;5000,"VeryHigh")</f>
        <v xml:space="preserve"> VeryLow</v>
      </c>
      <c r="O442" t="str" cm="1">
        <f t="array" ref="O442">_xlfn.IFS(G442&lt;0.09,"Low",G442&lt;0.2,"Medium",G442&lt;0.4,"High")</f>
        <v>Low</v>
      </c>
    </row>
    <row r="443" spans="1:15" x14ac:dyDescent="0.3">
      <c r="A443">
        <v>10442</v>
      </c>
      <c r="B443" s="1">
        <v>45003</v>
      </c>
      <c r="C443">
        <v>2063</v>
      </c>
      <c r="D443" t="s">
        <v>14</v>
      </c>
      <c r="E443">
        <v>9</v>
      </c>
      <c r="F443">
        <v>159.57</v>
      </c>
      <c r="G443">
        <v>0.28000000000000003</v>
      </c>
      <c r="H443" t="s">
        <v>13</v>
      </c>
      <c r="I443" t="s">
        <v>18</v>
      </c>
      <c r="J443">
        <f>amazon_store_sales_2022__1[[#This Row],[UnitPrice]]*amazon_store_sales_2022__1[[#This Row],[Quantity]]</f>
        <v>1436.1299999999999</v>
      </c>
      <c r="K443">
        <f>amazon_store_sales_2022__1[[#This Row],[Total ]]*amazon_store_sales_2022__1[[#This Row],[Discount]]</f>
        <v>402.1164</v>
      </c>
      <c r="L443" s="13">
        <f>amazon_store_sales_2022__1[[#This Row],[Total ]]-amazon_store_sales_2022__1[[#This Row],[Total Discount]]</f>
        <v>1034.0135999999998</v>
      </c>
      <c r="M443">
        <f>YEAR(amazon_store_sales_2022__1[[#This Row],[OrderDate]])</f>
        <v>2023</v>
      </c>
      <c r="N443" t="str" cm="1">
        <f t="array" ref="N443">_xlfn.IFS(L443&lt;500," VeryLow",L443&lt;1000,"Low",L443&lt;2000,"Medium",L443&lt;3000,"High",L443&lt;5000,"VeryHigh")</f>
        <v>Medium</v>
      </c>
      <c r="O443" t="str" cm="1">
        <f t="array" ref="O443">_xlfn.IFS(G443&lt;0.09,"Low",G443&lt;0.2,"Medium",G443&lt;0.4,"High")</f>
        <v>High</v>
      </c>
    </row>
    <row r="444" spans="1:15" x14ac:dyDescent="0.3">
      <c r="A444">
        <v>10443</v>
      </c>
      <c r="B444" s="1">
        <v>45004</v>
      </c>
      <c r="C444">
        <v>2062</v>
      </c>
      <c r="D444" t="s">
        <v>16</v>
      </c>
      <c r="E444">
        <v>7</v>
      </c>
      <c r="F444">
        <v>118.97</v>
      </c>
      <c r="G444">
        <v>0.17</v>
      </c>
      <c r="H444" t="s">
        <v>17</v>
      </c>
      <c r="I444" t="s">
        <v>11</v>
      </c>
      <c r="J444">
        <f>amazon_store_sales_2022__1[[#This Row],[UnitPrice]]*amazon_store_sales_2022__1[[#This Row],[Quantity]]</f>
        <v>832.79</v>
      </c>
      <c r="K444">
        <f>amazon_store_sales_2022__1[[#This Row],[Total ]]*amazon_store_sales_2022__1[[#This Row],[Discount]]</f>
        <v>141.57429999999999</v>
      </c>
      <c r="L444" s="13">
        <f>amazon_store_sales_2022__1[[#This Row],[Total ]]-amazon_store_sales_2022__1[[#This Row],[Total Discount]]</f>
        <v>691.21569999999997</v>
      </c>
      <c r="M444">
        <f>YEAR(amazon_store_sales_2022__1[[#This Row],[OrderDate]])</f>
        <v>2023</v>
      </c>
      <c r="N444" t="str" cm="1">
        <f t="array" ref="N444">_xlfn.IFS(L444&lt;500," VeryLow",L444&lt;1000,"Low",L444&lt;2000,"Medium",L444&lt;3000,"High",L444&lt;5000,"VeryHigh")</f>
        <v>Low</v>
      </c>
      <c r="O444" t="str" cm="1">
        <f t="array" ref="O444">_xlfn.IFS(G444&lt;0.09,"Low",G444&lt;0.2,"Medium",G444&lt;0.4,"High")</f>
        <v>Medium</v>
      </c>
    </row>
    <row r="445" spans="1:15" x14ac:dyDescent="0.3">
      <c r="A445">
        <v>10444</v>
      </c>
      <c r="B445" s="1">
        <v>45005</v>
      </c>
      <c r="C445">
        <v>2022</v>
      </c>
      <c r="D445" t="s">
        <v>16</v>
      </c>
      <c r="E445">
        <v>4</v>
      </c>
      <c r="F445">
        <v>107.06</v>
      </c>
      <c r="G445">
        <v>0.23</v>
      </c>
      <c r="H445" t="s">
        <v>17</v>
      </c>
      <c r="I445" t="s">
        <v>18</v>
      </c>
      <c r="J445">
        <f>amazon_store_sales_2022__1[[#This Row],[UnitPrice]]*amazon_store_sales_2022__1[[#This Row],[Quantity]]</f>
        <v>428.24</v>
      </c>
      <c r="K445">
        <f>amazon_store_sales_2022__1[[#This Row],[Total ]]*amazon_store_sales_2022__1[[#This Row],[Discount]]</f>
        <v>98.495200000000011</v>
      </c>
      <c r="L445" s="13">
        <f>amazon_store_sales_2022__1[[#This Row],[Total ]]-amazon_store_sales_2022__1[[#This Row],[Total Discount]]</f>
        <v>329.7448</v>
      </c>
      <c r="M445">
        <f>YEAR(amazon_store_sales_2022__1[[#This Row],[OrderDate]])</f>
        <v>2023</v>
      </c>
      <c r="N445" t="str" cm="1">
        <f t="array" ref="N445">_xlfn.IFS(L445&lt;500," VeryLow",L445&lt;1000,"Low",L445&lt;2000,"Medium",L445&lt;3000,"High",L445&lt;5000,"VeryHigh")</f>
        <v xml:space="preserve"> VeryLow</v>
      </c>
      <c r="O445" t="str" cm="1">
        <f t="array" ref="O445">_xlfn.IFS(G445&lt;0.09,"Low",G445&lt;0.2,"Medium",G445&lt;0.4,"High")</f>
        <v>High</v>
      </c>
    </row>
    <row r="446" spans="1:15" x14ac:dyDescent="0.3">
      <c r="A446">
        <v>10445</v>
      </c>
      <c r="B446" s="1">
        <v>45006</v>
      </c>
      <c r="C446">
        <v>2058</v>
      </c>
      <c r="D446" t="s">
        <v>19</v>
      </c>
      <c r="E446">
        <v>4</v>
      </c>
      <c r="F446">
        <v>320.79000000000002</v>
      </c>
      <c r="G446">
        <v>0.17</v>
      </c>
      <c r="H446" t="s">
        <v>15</v>
      </c>
      <c r="I446" t="s">
        <v>18</v>
      </c>
      <c r="J446">
        <f>amazon_store_sales_2022__1[[#This Row],[UnitPrice]]*amazon_store_sales_2022__1[[#This Row],[Quantity]]</f>
        <v>1283.1600000000001</v>
      </c>
      <c r="K446">
        <f>amazon_store_sales_2022__1[[#This Row],[Total ]]*amazon_store_sales_2022__1[[#This Row],[Discount]]</f>
        <v>218.13720000000004</v>
      </c>
      <c r="L446" s="13">
        <f>amazon_store_sales_2022__1[[#This Row],[Total ]]-amazon_store_sales_2022__1[[#This Row],[Total Discount]]</f>
        <v>1065.0228</v>
      </c>
      <c r="M446">
        <f>YEAR(amazon_store_sales_2022__1[[#This Row],[OrderDate]])</f>
        <v>2023</v>
      </c>
      <c r="N446" t="str" cm="1">
        <f t="array" ref="N446">_xlfn.IFS(L446&lt;500," VeryLow",L446&lt;1000,"Low",L446&lt;2000,"Medium",L446&lt;3000,"High",L446&lt;5000,"VeryHigh")</f>
        <v>Medium</v>
      </c>
      <c r="O446" t="str" cm="1">
        <f t="array" ref="O446">_xlfn.IFS(G446&lt;0.09,"Low",G446&lt;0.2,"Medium",G446&lt;0.4,"High")</f>
        <v>Medium</v>
      </c>
    </row>
    <row r="447" spans="1:15" x14ac:dyDescent="0.3">
      <c r="A447">
        <v>10446</v>
      </c>
      <c r="B447" s="1">
        <v>45007</v>
      </c>
      <c r="C447">
        <v>2058</v>
      </c>
      <c r="D447" t="s">
        <v>19</v>
      </c>
      <c r="E447">
        <v>8</v>
      </c>
      <c r="F447">
        <v>132.16</v>
      </c>
      <c r="G447">
        <v>0.17</v>
      </c>
      <c r="H447" t="s">
        <v>17</v>
      </c>
      <c r="I447" t="s">
        <v>18</v>
      </c>
      <c r="J447">
        <f>amazon_store_sales_2022__1[[#This Row],[UnitPrice]]*amazon_store_sales_2022__1[[#This Row],[Quantity]]</f>
        <v>1057.28</v>
      </c>
      <c r="K447">
        <f>amazon_store_sales_2022__1[[#This Row],[Total ]]*amazon_store_sales_2022__1[[#This Row],[Discount]]</f>
        <v>179.73760000000001</v>
      </c>
      <c r="L447" s="13">
        <f>amazon_store_sales_2022__1[[#This Row],[Total ]]-amazon_store_sales_2022__1[[#This Row],[Total Discount]]</f>
        <v>877.54239999999993</v>
      </c>
      <c r="M447">
        <f>YEAR(amazon_store_sales_2022__1[[#This Row],[OrderDate]])</f>
        <v>2023</v>
      </c>
      <c r="N447" t="str" cm="1">
        <f t="array" ref="N447">_xlfn.IFS(L447&lt;500," VeryLow",L447&lt;1000,"Low",L447&lt;2000,"Medium",L447&lt;3000,"High",L447&lt;5000,"VeryHigh")</f>
        <v>Low</v>
      </c>
      <c r="O447" t="str" cm="1">
        <f t="array" ref="O447">_xlfn.IFS(G447&lt;0.09,"Low",G447&lt;0.2,"Medium",G447&lt;0.4,"High")</f>
        <v>Medium</v>
      </c>
    </row>
    <row r="448" spans="1:15" x14ac:dyDescent="0.3">
      <c r="A448">
        <v>10447</v>
      </c>
      <c r="B448" s="1">
        <v>45008</v>
      </c>
      <c r="C448">
        <v>2086</v>
      </c>
      <c r="D448" t="s">
        <v>16</v>
      </c>
      <c r="E448">
        <v>4</v>
      </c>
      <c r="F448">
        <v>317.85000000000002</v>
      </c>
      <c r="G448">
        <v>0.03</v>
      </c>
      <c r="H448" t="s">
        <v>20</v>
      </c>
      <c r="I448" t="s">
        <v>11</v>
      </c>
      <c r="J448">
        <f>amazon_store_sales_2022__1[[#This Row],[UnitPrice]]*amazon_store_sales_2022__1[[#This Row],[Quantity]]</f>
        <v>1271.4000000000001</v>
      </c>
      <c r="K448">
        <f>amazon_store_sales_2022__1[[#This Row],[Total ]]*amazon_store_sales_2022__1[[#This Row],[Discount]]</f>
        <v>38.142000000000003</v>
      </c>
      <c r="L448" s="13">
        <f>amazon_store_sales_2022__1[[#This Row],[Total ]]-amazon_store_sales_2022__1[[#This Row],[Total Discount]]</f>
        <v>1233.258</v>
      </c>
      <c r="M448">
        <f>YEAR(amazon_store_sales_2022__1[[#This Row],[OrderDate]])</f>
        <v>2023</v>
      </c>
      <c r="N448" t="str" cm="1">
        <f t="array" ref="N448">_xlfn.IFS(L448&lt;500," VeryLow",L448&lt;1000,"Low",L448&lt;2000,"Medium",L448&lt;3000,"High",L448&lt;5000,"VeryHigh")</f>
        <v>Medium</v>
      </c>
      <c r="O448" t="str" cm="1">
        <f t="array" ref="O448">_xlfn.IFS(G448&lt;0.09,"Low",G448&lt;0.2,"Medium",G448&lt;0.4,"High")</f>
        <v>Low</v>
      </c>
    </row>
    <row r="449" spans="1:15" x14ac:dyDescent="0.3">
      <c r="A449">
        <v>10448</v>
      </c>
      <c r="B449" s="1">
        <v>45009</v>
      </c>
      <c r="C449">
        <v>2049</v>
      </c>
      <c r="D449" t="s">
        <v>16</v>
      </c>
      <c r="E449">
        <v>6</v>
      </c>
      <c r="F449">
        <v>33.94</v>
      </c>
      <c r="G449">
        <v>0.1</v>
      </c>
      <c r="H449" t="s">
        <v>13</v>
      </c>
      <c r="I449" t="s">
        <v>11</v>
      </c>
      <c r="J449">
        <f>amazon_store_sales_2022__1[[#This Row],[UnitPrice]]*amazon_store_sales_2022__1[[#This Row],[Quantity]]</f>
        <v>203.64</v>
      </c>
      <c r="K449">
        <f>amazon_store_sales_2022__1[[#This Row],[Total ]]*amazon_store_sales_2022__1[[#This Row],[Discount]]</f>
        <v>20.364000000000001</v>
      </c>
      <c r="L449" s="13">
        <f>amazon_store_sales_2022__1[[#This Row],[Total ]]-amazon_store_sales_2022__1[[#This Row],[Total Discount]]</f>
        <v>183.27599999999998</v>
      </c>
      <c r="M449">
        <f>YEAR(amazon_store_sales_2022__1[[#This Row],[OrderDate]])</f>
        <v>2023</v>
      </c>
      <c r="N449" t="str" cm="1">
        <f t="array" ref="N449">_xlfn.IFS(L449&lt;500," VeryLow",L449&lt;1000,"Low",L449&lt;2000,"Medium",L449&lt;3000,"High",L449&lt;5000,"VeryHigh")</f>
        <v xml:space="preserve"> VeryLow</v>
      </c>
      <c r="O449" t="str" cm="1">
        <f t="array" ref="O449">_xlfn.IFS(G449&lt;0.09,"Low",G449&lt;0.2,"Medium",G449&lt;0.4,"High")</f>
        <v>Medium</v>
      </c>
    </row>
    <row r="450" spans="1:15" x14ac:dyDescent="0.3">
      <c r="A450">
        <v>10449</v>
      </c>
      <c r="B450" s="1">
        <v>45010</v>
      </c>
      <c r="C450">
        <v>2052</v>
      </c>
      <c r="D450" t="s">
        <v>9</v>
      </c>
      <c r="E450">
        <v>5</v>
      </c>
      <c r="F450">
        <v>75.180000000000007</v>
      </c>
      <c r="G450">
        <v>0.08</v>
      </c>
      <c r="H450" t="s">
        <v>20</v>
      </c>
      <c r="I450" t="s">
        <v>18</v>
      </c>
      <c r="J450">
        <f>amazon_store_sales_2022__1[[#This Row],[UnitPrice]]*amazon_store_sales_2022__1[[#This Row],[Quantity]]</f>
        <v>375.90000000000003</v>
      </c>
      <c r="K450">
        <f>amazon_store_sales_2022__1[[#This Row],[Total ]]*amazon_store_sales_2022__1[[#This Row],[Discount]]</f>
        <v>30.072000000000003</v>
      </c>
      <c r="L450" s="13">
        <f>amazon_store_sales_2022__1[[#This Row],[Total ]]-amazon_store_sales_2022__1[[#This Row],[Total Discount]]</f>
        <v>345.82800000000003</v>
      </c>
      <c r="M450">
        <f>YEAR(amazon_store_sales_2022__1[[#This Row],[OrderDate]])</f>
        <v>2023</v>
      </c>
      <c r="N450" t="str" cm="1">
        <f t="array" ref="N450">_xlfn.IFS(L450&lt;500," VeryLow",L450&lt;1000,"Low",L450&lt;2000,"Medium",L450&lt;3000,"High",L450&lt;5000,"VeryHigh")</f>
        <v xml:space="preserve"> VeryLow</v>
      </c>
      <c r="O450" t="str" cm="1">
        <f t="array" ref="O450">_xlfn.IFS(G450&lt;0.09,"Low",G450&lt;0.2,"Medium",G450&lt;0.4,"High")</f>
        <v>Low</v>
      </c>
    </row>
    <row r="451" spans="1:15" x14ac:dyDescent="0.3">
      <c r="A451">
        <v>10450</v>
      </c>
      <c r="B451" s="1">
        <v>45011</v>
      </c>
      <c r="C451">
        <v>2042</v>
      </c>
      <c r="D451" t="s">
        <v>14</v>
      </c>
      <c r="E451">
        <v>3</v>
      </c>
      <c r="F451">
        <v>140.9</v>
      </c>
      <c r="G451">
        <v>0.12</v>
      </c>
      <c r="H451" t="s">
        <v>10</v>
      </c>
      <c r="I451" t="s">
        <v>11</v>
      </c>
      <c r="J451">
        <f>amazon_store_sales_2022__1[[#This Row],[UnitPrice]]*amazon_store_sales_2022__1[[#This Row],[Quantity]]</f>
        <v>422.70000000000005</v>
      </c>
      <c r="K451">
        <f>amazon_store_sales_2022__1[[#This Row],[Total ]]*amazon_store_sales_2022__1[[#This Row],[Discount]]</f>
        <v>50.724000000000004</v>
      </c>
      <c r="L451" s="13">
        <f>amazon_store_sales_2022__1[[#This Row],[Total ]]-amazon_store_sales_2022__1[[#This Row],[Total Discount]]</f>
        <v>371.97600000000006</v>
      </c>
      <c r="M451">
        <f>YEAR(amazon_store_sales_2022__1[[#This Row],[OrderDate]])</f>
        <v>2023</v>
      </c>
      <c r="N451" t="str" cm="1">
        <f t="array" ref="N451">_xlfn.IFS(L451&lt;500," VeryLow",L451&lt;1000,"Low",L451&lt;2000,"Medium",L451&lt;3000,"High",L451&lt;5000,"VeryHigh")</f>
        <v xml:space="preserve"> VeryLow</v>
      </c>
      <c r="O451" t="str" cm="1">
        <f t="array" ref="O451">_xlfn.IFS(G451&lt;0.09,"Low",G451&lt;0.2,"Medium",G451&lt;0.4,"High")</f>
        <v>Medium</v>
      </c>
    </row>
    <row r="452" spans="1:15" x14ac:dyDescent="0.3">
      <c r="A452">
        <v>10451</v>
      </c>
      <c r="B452" s="1">
        <v>45012</v>
      </c>
      <c r="C452">
        <v>2070</v>
      </c>
      <c r="D452" t="s">
        <v>19</v>
      </c>
      <c r="E452">
        <v>2</v>
      </c>
      <c r="F452">
        <v>300.54000000000002</v>
      </c>
      <c r="G452">
        <v>0.24</v>
      </c>
      <c r="H452" t="s">
        <v>15</v>
      </c>
      <c r="I452" t="s">
        <v>18</v>
      </c>
      <c r="J452">
        <f>amazon_store_sales_2022__1[[#This Row],[UnitPrice]]*amazon_store_sales_2022__1[[#This Row],[Quantity]]</f>
        <v>601.08000000000004</v>
      </c>
      <c r="K452">
        <f>amazon_store_sales_2022__1[[#This Row],[Total ]]*amazon_store_sales_2022__1[[#This Row],[Discount]]</f>
        <v>144.25919999999999</v>
      </c>
      <c r="L452" s="13">
        <f>amazon_store_sales_2022__1[[#This Row],[Total ]]-amazon_store_sales_2022__1[[#This Row],[Total Discount]]</f>
        <v>456.82080000000008</v>
      </c>
      <c r="M452">
        <f>YEAR(amazon_store_sales_2022__1[[#This Row],[OrderDate]])</f>
        <v>2023</v>
      </c>
      <c r="N452" t="str" cm="1">
        <f t="array" ref="N452">_xlfn.IFS(L452&lt;500," VeryLow",L452&lt;1000,"Low",L452&lt;2000,"Medium",L452&lt;3000,"High",L452&lt;5000,"VeryHigh")</f>
        <v xml:space="preserve"> VeryLow</v>
      </c>
      <c r="O452" t="str" cm="1">
        <f t="array" ref="O452">_xlfn.IFS(G452&lt;0.09,"Low",G452&lt;0.2,"Medium",G452&lt;0.4,"High")</f>
        <v>High</v>
      </c>
    </row>
    <row r="453" spans="1:15" x14ac:dyDescent="0.3">
      <c r="A453">
        <v>10452</v>
      </c>
      <c r="B453" s="1">
        <v>45013</v>
      </c>
      <c r="C453">
        <v>2015</v>
      </c>
      <c r="D453" t="s">
        <v>14</v>
      </c>
      <c r="E453">
        <v>9</v>
      </c>
      <c r="F453">
        <v>339.54</v>
      </c>
      <c r="G453">
        <v>0.11</v>
      </c>
      <c r="H453" t="s">
        <v>17</v>
      </c>
      <c r="I453" t="s">
        <v>18</v>
      </c>
      <c r="J453">
        <f>amazon_store_sales_2022__1[[#This Row],[UnitPrice]]*amazon_store_sales_2022__1[[#This Row],[Quantity]]</f>
        <v>3055.86</v>
      </c>
      <c r="K453">
        <f>amazon_store_sales_2022__1[[#This Row],[Total ]]*amazon_store_sales_2022__1[[#This Row],[Discount]]</f>
        <v>336.14460000000003</v>
      </c>
      <c r="L453" s="13">
        <f>amazon_store_sales_2022__1[[#This Row],[Total ]]-amazon_store_sales_2022__1[[#This Row],[Total Discount]]</f>
        <v>2719.7154</v>
      </c>
      <c r="M453">
        <f>YEAR(amazon_store_sales_2022__1[[#This Row],[OrderDate]])</f>
        <v>2023</v>
      </c>
      <c r="N453" t="str" cm="1">
        <f t="array" ref="N453">_xlfn.IFS(L453&lt;500," VeryLow",L453&lt;1000,"Low",L453&lt;2000,"Medium",L453&lt;3000,"High",L453&lt;5000,"VeryHigh")</f>
        <v>High</v>
      </c>
      <c r="O453" t="str" cm="1">
        <f t="array" ref="O453">_xlfn.IFS(G453&lt;0.09,"Low",G453&lt;0.2,"Medium",G453&lt;0.4,"High")</f>
        <v>Medium</v>
      </c>
    </row>
    <row r="454" spans="1:15" x14ac:dyDescent="0.3">
      <c r="A454">
        <v>10453</v>
      </c>
      <c r="B454" s="1">
        <v>45014</v>
      </c>
      <c r="C454">
        <v>2054</v>
      </c>
      <c r="D454" t="s">
        <v>14</v>
      </c>
      <c r="E454">
        <v>9</v>
      </c>
      <c r="F454">
        <v>224.14</v>
      </c>
      <c r="G454">
        <v>0.14000000000000001</v>
      </c>
      <c r="H454" t="s">
        <v>10</v>
      </c>
      <c r="I454" t="s">
        <v>11</v>
      </c>
      <c r="J454">
        <f>amazon_store_sales_2022__1[[#This Row],[UnitPrice]]*amazon_store_sales_2022__1[[#This Row],[Quantity]]</f>
        <v>2017.2599999999998</v>
      </c>
      <c r="K454">
        <f>amazon_store_sales_2022__1[[#This Row],[Total ]]*amazon_store_sales_2022__1[[#This Row],[Discount]]</f>
        <v>282.41640000000001</v>
      </c>
      <c r="L454" s="13">
        <f>amazon_store_sales_2022__1[[#This Row],[Total ]]-amazon_store_sales_2022__1[[#This Row],[Total Discount]]</f>
        <v>1734.8435999999997</v>
      </c>
      <c r="M454">
        <f>YEAR(amazon_store_sales_2022__1[[#This Row],[OrderDate]])</f>
        <v>2023</v>
      </c>
      <c r="N454" t="str" cm="1">
        <f t="array" ref="N454">_xlfn.IFS(L454&lt;500," VeryLow",L454&lt;1000,"Low",L454&lt;2000,"Medium",L454&lt;3000,"High",L454&lt;5000,"VeryHigh")</f>
        <v>Medium</v>
      </c>
      <c r="O454" t="str" cm="1">
        <f t="array" ref="O454">_xlfn.IFS(G454&lt;0.09,"Low",G454&lt;0.2,"Medium",G454&lt;0.4,"High")</f>
        <v>Medium</v>
      </c>
    </row>
    <row r="455" spans="1:15" x14ac:dyDescent="0.3">
      <c r="A455">
        <v>10454</v>
      </c>
      <c r="B455" s="1">
        <v>45015</v>
      </c>
      <c r="C455">
        <v>2060</v>
      </c>
      <c r="D455" t="s">
        <v>16</v>
      </c>
      <c r="E455">
        <v>1</v>
      </c>
      <c r="F455">
        <v>225.67</v>
      </c>
      <c r="G455">
        <v>0.12</v>
      </c>
      <c r="H455" t="s">
        <v>17</v>
      </c>
      <c r="I455" t="s">
        <v>11</v>
      </c>
      <c r="J455">
        <f>amazon_store_sales_2022__1[[#This Row],[UnitPrice]]*amazon_store_sales_2022__1[[#This Row],[Quantity]]</f>
        <v>225.67</v>
      </c>
      <c r="K455">
        <f>amazon_store_sales_2022__1[[#This Row],[Total ]]*amazon_store_sales_2022__1[[#This Row],[Discount]]</f>
        <v>27.080399999999997</v>
      </c>
      <c r="L455" s="13">
        <f>amazon_store_sales_2022__1[[#This Row],[Total ]]-amazon_store_sales_2022__1[[#This Row],[Total Discount]]</f>
        <v>198.58959999999999</v>
      </c>
      <c r="M455">
        <f>YEAR(amazon_store_sales_2022__1[[#This Row],[OrderDate]])</f>
        <v>2023</v>
      </c>
      <c r="N455" t="str" cm="1">
        <f t="array" ref="N455">_xlfn.IFS(L455&lt;500," VeryLow",L455&lt;1000,"Low",L455&lt;2000,"Medium",L455&lt;3000,"High",L455&lt;5000,"VeryHigh")</f>
        <v xml:space="preserve"> VeryLow</v>
      </c>
      <c r="O455" t="str" cm="1">
        <f t="array" ref="O455">_xlfn.IFS(G455&lt;0.09,"Low",G455&lt;0.2,"Medium",G455&lt;0.4,"High")</f>
        <v>Medium</v>
      </c>
    </row>
    <row r="456" spans="1:15" x14ac:dyDescent="0.3">
      <c r="A456">
        <v>10455</v>
      </c>
      <c r="B456" s="1">
        <v>45016</v>
      </c>
      <c r="C456">
        <v>2097</v>
      </c>
      <c r="D456" t="s">
        <v>9</v>
      </c>
      <c r="E456">
        <v>3</v>
      </c>
      <c r="F456">
        <v>363.64</v>
      </c>
      <c r="G456">
        <v>0.03</v>
      </c>
      <c r="H456" t="s">
        <v>13</v>
      </c>
      <c r="I456" t="s">
        <v>18</v>
      </c>
      <c r="J456">
        <f>amazon_store_sales_2022__1[[#This Row],[UnitPrice]]*amazon_store_sales_2022__1[[#This Row],[Quantity]]</f>
        <v>1090.92</v>
      </c>
      <c r="K456">
        <f>amazon_store_sales_2022__1[[#This Row],[Total ]]*amazon_store_sales_2022__1[[#This Row],[Discount]]</f>
        <v>32.727600000000002</v>
      </c>
      <c r="L456" s="13">
        <f>amazon_store_sales_2022__1[[#This Row],[Total ]]-amazon_store_sales_2022__1[[#This Row],[Total Discount]]</f>
        <v>1058.1924000000001</v>
      </c>
      <c r="M456">
        <f>YEAR(amazon_store_sales_2022__1[[#This Row],[OrderDate]])</f>
        <v>2023</v>
      </c>
      <c r="N456" t="str" cm="1">
        <f t="array" ref="N456">_xlfn.IFS(L456&lt;500," VeryLow",L456&lt;1000,"Low",L456&lt;2000,"Medium",L456&lt;3000,"High",L456&lt;5000,"VeryHigh")</f>
        <v>Medium</v>
      </c>
      <c r="O456" t="str" cm="1">
        <f t="array" ref="O456">_xlfn.IFS(G456&lt;0.09,"Low",G456&lt;0.2,"Medium",G456&lt;0.4,"High")</f>
        <v>Low</v>
      </c>
    </row>
    <row r="457" spans="1:15" x14ac:dyDescent="0.3">
      <c r="A457">
        <v>10456</v>
      </c>
      <c r="B457" s="1">
        <v>45017</v>
      </c>
      <c r="C457">
        <v>2008</v>
      </c>
      <c r="D457" t="s">
        <v>12</v>
      </c>
      <c r="E457">
        <v>8</v>
      </c>
      <c r="F457">
        <v>12.83</v>
      </c>
      <c r="G457">
        <v>0.13</v>
      </c>
      <c r="H457" t="s">
        <v>13</v>
      </c>
      <c r="I457" t="s">
        <v>18</v>
      </c>
      <c r="J457">
        <f>amazon_store_sales_2022__1[[#This Row],[UnitPrice]]*amazon_store_sales_2022__1[[#This Row],[Quantity]]</f>
        <v>102.64</v>
      </c>
      <c r="K457">
        <f>amazon_store_sales_2022__1[[#This Row],[Total ]]*amazon_store_sales_2022__1[[#This Row],[Discount]]</f>
        <v>13.343200000000001</v>
      </c>
      <c r="L457" s="13">
        <f>amazon_store_sales_2022__1[[#This Row],[Total ]]-amazon_store_sales_2022__1[[#This Row],[Total Discount]]</f>
        <v>89.296800000000005</v>
      </c>
      <c r="M457">
        <f>YEAR(amazon_store_sales_2022__1[[#This Row],[OrderDate]])</f>
        <v>2023</v>
      </c>
      <c r="N457" t="str" cm="1">
        <f t="array" ref="N457">_xlfn.IFS(L457&lt;500," VeryLow",L457&lt;1000,"Low",L457&lt;2000,"Medium",L457&lt;3000,"High",L457&lt;5000,"VeryHigh")</f>
        <v xml:space="preserve"> VeryLow</v>
      </c>
      <c r="O457" t="str" cm="1">
        <f t="array" ref="O457">_xlfn.IFS(G457&lt;0.09,"Low",G457&lt;0.2,"Medium",G457&lt;0.4,"High")</f>
        <v>Medium</v>
      </c>
    </row>
    <row r="458" spans="1:15" x14ac:dyDescent="0.3">
      <c r="A458">
        <v>10457</v>
      </c>
      <c r="B458" s="1">
        <v>45018</v>
      </c>
      <c r="C458">
        <v>2053</v>
      </c>
      <c r="D458" t="s">
        <v>9</v>
      </c>
      <c r="E458">
        <v>6</v>
      </c>
      <c r="F458">
        <v>173.84</v>
      </c>
      <c r="G458">
        <v>0.06</v>
      </c>
      <c r="H458" t="s">
        <v>13</v>
      </c>
      <c r="I458" t="s">
        <v>11</v>
      </c>
      <c r="J458">
        <f>amazon_store_sales_2022__1[[#This Row],[UnitPrice]]*amazon_store_sales_2022__1[[#This Row],[Quantity]]</f>
        <v>1043.04</v>
      </c>
      <c r="K458">
        <f>amazon_store_sales_2022__1[[#This Row],[Total ]]*amazon_store_sales_2022__1[[#This Row],[Discount]]</f>
        <v>62.582399999999993</v>
      </c>
      <c r="L458" s="13">
        <f>amazon_store_sales_2022__1[[#This Row],[Total ]]-amazon_store_sales_2022__1[[#This Row],[Total Discount]]</f>
        <v>980.45759999999996</v>
      </c>
      <c r="M458">
        <f>YEAR(amazon_store_sales_2022__1[[#This Row],[OrderDate]])</f>
        <v>2023</v>
      </c>
      <c r="N458" t="str" cm="1">
        <f t="array" ref="N458">_xlfn.IFS(L458&lt;500," VeryLow",L458&lt;1000,"Low",L458&lt;2000,"Medium",L458&lt;3000,"High",L458&lt;5000,"VeryHigh")</f>
        <v>Low</v>
      </c>
      <c r="O458" t="str" cm="1">
        <f t="array" ref="O458">_xlfn.IFS(G458&lt;0.09,"Low",G458&lt;0.2,"Medium",G458&lt;0.4,"High")</f>
        <v>Low</v>
      </c>
    </row>
    <row r="459" spans="1:15" x14ac:dyDescent="0.3">
      <c r="A459">
        <v>10458</v>
      </c>
      <c r="B459" s="1">
        <v>45019</v>
      </c>
      <c r="C459">
        <v>2060</v>
      </c>
      <c r="D459" t="s">
        <v>9</v>
      </c>
      <c r="E459">
        <v>5</v>
      </c>
      <c r="F459">
        <v>410.26</v>
      </c>
      <c r="G459">
        <v>0.06</v>
      </c>
      <c r="H459" t="s">
        <v>17</v>
      </c>
      <c r="I459" t="s">
        <v>18</v>
      </c>
      <c r="J459">
        <f>amazon_store_sales_2022__1[[#This Row],[UnitPrice]]*amazon_store_sales_2022__1[[#This Row],[Quantity]]</f>
        <v>2051.3000000000002</v>
      </c>
      <c r="K459">
        <f>amazon_store_sales_2022__1[[#This Row],[Total ]]*amazon_store_sales_2022__1[[#This Row],[Discount]]</f>
        <v>123.078</v>
      </c>
      <c r="L459" s="13">
        <f>amazon_store_sales_2022__1[[#This Row],[Total ]]-amazon_store_sales_2022__1[[#This Row],[Total Discount]]</f>
        <v>1928.2220000000002</v>
      </c>
      <c r="M459">
        <f>YEAR(amazon_store_sales_2022__1[[#This Row],[OrderDate]])</f>
        <v>2023</v>
      </c>
      <c r="N459" t="str" cm="1">
        <f t="array" ref="N459">_xlfn.IFS(L459&lt;500," VeryLow",L459&lt;1000,"Low",L459&lt;2000,"Medium",L459&lt;3000,"High",L459&lt;5000,"VeryHigh")</f>
        <v>Medium</v>
      </c>
      <c r="O459" t="str" cm="1">
        <f t="array" ref="O459">_xlfn.IFS(G459&lt;0.09,"Low",G459&lt;0.2,"Medium",G459&lt;0.4,"High")</f>
        <v>Low</v>
      </c>
    </row>
    <row r="460" spans="1:15" x14ac:dyDescent="0.3">
      <c r="A460">
        <v>10459</v>
      </c>
      <c r="B460" s="1">
        <v>45020</v>
      </c>
      <c r="C460">
        <v>2005</v>
      </c>
      <c r="D460" t="s">
        <v>14</v>
      </c>
      <c r="E460">
        <v>5</v>
      </c>
      <c r="F460">
        <v>303.58999999999997</v>
      </c>
      <c r="G460">
        <v>0.03</v>
      </c>
      <c r="H460" t="s">
        <v>10</v>
      </c>
      <c r="I460" t="s">
        <v>11</v>
      </c>
      <c r="J460">
        <f>amazon_store_sales_2022__1[[#This Row],[UnitPrice]]*amazon_store_sales_2022__1[[#This Row],[Quantity]]</f>
        <v>1517.9499999999998</v>
      </c>
      <c r="K460">
        <f>amazon_store_sales_2022__1[[#This Row],[Total ]]*amazon_store_sales_2022__1[[#This Row],[Discount]]</f>
        <v>45.538499999999992</v>
      </c>
      <c r="L460" s="13">
        <f>amazon_store_sales_2022__1[[#This Row],[Total ]]-amazon_store_sales_2022__1[[#This Row],[Total Discount]]</f>
        <v>1472.4114999999999</v>
      </c>
      <c r="M460">
        <f>YEAR(amazon_store_sales_2022__1[[#This Row],[OrderDate]])</f>
        <v>2023</v>
      </c>
      <c r="N460" t="str" cm="1">
        <f t="array" ref="N460">_xlfn.IFS(L460&lt;500," VeryLow",L460&lt;1000,"Low",L460&lt;2000,"Medium",L460&lt;3000,"High",L460&lt;5000,"VeryHigh")</f>
        <v>Medium</v>
      </c>
      <c r="O460" t="str" cm="1">
        <f t="array" ref="O460">_xlfn.IFS(G460&lt;0.09,"Low",G460&lt;0.2,"Medium",G460&lt;0.4,"High")</f>
        <v>Low</v>
      </c>
    </row>
    <row r="461" spans="1:15" x14ac:dyDescent="0.3">
      <c r="A461">
        <v>10460</v>
      </c>
      <c r="B461" s="1">
        <v>45021</v>
      </c>
      <c r="C461">
        <v>2068</v>
      </c>
      <c r="D461" t="s">
        <v>9</v>
      </c>
      <c r="E461">
        <v>6</v>
      </c>
      <c r="F461">
        <v>171.93</v>
      </c>
      <c r="G461">
        <v>0.11</v>
      </c>
      <c r="H461" t="s">
        <v>13</v>
      </c>
      <c r="I461" t="s">
        <v>18</v>
      </c>
      <c r="J461">
        <f>amazon_store_sales_2022__1[[#This Row],[UnitPrice]]*amazon_store_sales_2022__1[[#This Row],[Quantity]]</f>
        <v>1031.58</v>
      </c>
      <c r="K461">
        <f>amazon_store_sales_2022__1[[#This Row],[Total ]]*amazon_store_sales_2022__1[[#This Row],[Discount]]</f>
        <v>113.4738</v>
      </c>
      <c r="L461" s="13">
        <f>amazon_store_sales_2022__1[[#This Row],[Total ]]-amazon_store_sales_2022__1[[#This Row],[Total Discount]]</f>
        <v>918.10619999999994</v>
      </c>
      <c r="M461">
        <f>YEAR(amazon_store_sales_2022__1[[#This Row],[OrderDate]])</f>
        <v>2023</v>
      </c>
      <c r="N461" t="str" cm="1">
        <f t="array" ref="N461">_xlfn.IFS(L461&lt;500," VeryLow",L461&lt;1000,"Low",L461&lt;2000,"Medium",L461&lt;3000,"High",L461&lt;5000,"VeryHigh")</f>
        <v>Low</v>
      </c>
      <c r="O461" t="str" cm="1">
        <f t="array" ref="O461">_xlfn.IFS(G461&lt;0.09,"Low",G461&lt;0.2,"Medium",G461&lt;0.4,"High")</f>
        <v>Medium</v>
      </c>
    </row>
    <row r="462" spans="1:15" x14ac:dyDescent="0.3">
      <c r="A462">
        <v>10461</v>
      </c>
      <c r="B462" s="1">
        <v>45022</v>
      </c>
      <c r="C462">
        <v>2006</v>
      </c>
      <c r="D462" t="s">
        <v>19</v>
      </c>
      <c r="E462">
        <v>7</v>
      </c>
      <c r="F462">
        <v>453.23</v>
      </c>
      <c r="G462">
        <v>0.23</v>
      </c>
      <c r="H462" t="s">
        <v>10</v>
      </c>
      <c r="I462" t="s">
        <v>11</v>
      </c>
      <c r="J462">
        <f>amazon_store_sales_2022__1[[#This Row],[UnitPrice]]*amazon_store_sales_2022__1[[#This Row],[Quantity]]</f>
        <v>3172.61</v>
      </c>
      <c r="K462">
        <f>amazon_store_sales_2022__1[[#This Row],[Total ]]*amazon_store_sales_2022__1[[#This Row],[Discount]]</f>
        <v>729.70030000000008</v>
      </c>
      <c r="L462" s="13">
        <f>amazon_store_sales_2022__1[[#This Row],[Total ]]-amazon_store_sales_2022__1[[#This Row],[Total Discount]]</f>
        <v>2442.9097000000002</v>
      </c>
      <c r="M462">
        <f>YEAR(amazon_store_sales_2022__1[[#This Row],[OrderDate]])</f>
        <v>2023</v>
      </c>
      <c r="N462" t="str" cm="1">
        <f t="array" ref="N462">_xlfn.IFS(L462&lt;500," VeryLow",L462&lt;1000,"Low",L462&lt;2000,"Medium",L462&lt;3000,"High",L462&lt;5000,"VeryHigh")</f>
        <v>High</v>
      </c>
      <c r="O462" t="str" cm="1">
        <f t="array" ref="O462">_xlfn.IFS(G462&lt;0.09,"Low",G462&lt;0.2,"Medium",G462&lt;0.4,"High")</f>
        <v>High</v>
      </c>
    </row>
    <row r="463" spans="1:15" x14ac:dyDescent="0.3">
      <c r="A463">
        <v>10462</v>
      </c>
      <c r="B463" s="1">
        <v>45023</v>
      </c>
      <c r="C463">
        <v>2096</v>
      </c>
      <c r="D463" t="s">
        <v>14</v>
      </c>
      <c r="E463">
        <v>1</v>
      </c>
      <c r="F463">
        <v>387.45</v>
      </c>
      <c r="G463">
        <v>0.08</v>
      </c>
      <c r="H463" t="s">
        <v>17</v>
      </c>
      <c r="I463" t="s">
        <v>18</v>
      </c>
      <c r="J463">
        <f>amazon_store_sales_2022__1[[#This Row],[UnitPrice]]*amazon_store_sales_2022__1[[#This Row],[Quantity]]</f>
        <v>387.45</v>
      </c>
      <c r="K463">
        <f>amazon_store_sales_2022__1[[#This Row],[Total ]]*amazon_store_sales_2022__1[[#This Row],[Discount]]</f>
        <v>30.995999999999999</v>
      </c>
      <c r="L463" s="13">
        <f>amazon_store_sales_2022__1[[#This Row],[Total ]]-amazon_store_sales_2022__1[[#This Row],[Total Discount]]</f>
        <v>356.45400000000001</v>
      </c>
      <c r="M463">
        <f>YEAR(amazon_store_sales_2022__1[[#This Row],[OrderDate]])</f>
        <v>2023</v>
      </c>
      <c r="N463" t="str" cm="1">
        <f t="array" ref="N463">_xlfn.IFS(L463&lt;500," VeryLow",L463&lt;1000,"Low",L463&lt;2000,"Medium",L463&lt;3000,"High",L463&lt;5000,"VeryHigh")</f>
        <v xml:space="preserve"> VeryLow</v>
      </c>
      <c r="O463" t="str" cm="1">
        <f t="array" ref="O463">_xlfn.IFS(G463&lt;0.09,"Low",G463&lt;0.2,"Medium",G463&lt;0.4,"High")</f>
        <v>Low</v>
      </c>
    </row>
    <row r="464" spans="1:15" x14ac:dyDescent="0.3">
      <c r="A464">
        <v>10463</v>
      </c>
      <c r="B464" s="1">
        <v>45024</v>
      </c>
      <c r="C464">
        <v>2094</v>
      </c>
      <c r="D464" t="s">
        <v>19</v>
      </c>
      <c r="E464">
        <v>9</v>
      </c>
      <c r="F464">
        <v>136.12</v>
      </c>
      <c r="G464">
        <v>0.09</v>
      </c>
      <c r="H464" t="s">
        <v>10</v>
      </c>
      <c r="I464" t="s">
        <v>18</v>
      </c>
      <c r="J464">
        <f>amazon_store_sales_2022__1[[#This Row],[UnitPrice]]*amazon_store_sales_2022__1[[#This Row],[Quantity]]</f>
        <v>1225.08</v>
      </c>
      <c r="K464">
        <f>amazon_store_sales_2022__1[[#This Row],[Total ]]*amazon_store_sales_2022__1[[#This Row],[Discount]]</f>
        <v>110.25719999999998</v>
      </c>
      <c r="L464" s="13">
        <f>amazon_store_sales_2022__1[[#This Row],[Total ]]-amazon_store_sales_2022__1[[#This Row],[Total Discount]]</f>
        <v>1114.8227999999999</v>
      </c>
      <c r="M464">
        <f>YEAR(amazon_store_sales_2022__1[[#This Row],[OrderDate]])</f>
        <v>2023</v>
      </c>
      <c r="N464" t="str" cm="1">
        <f t="array" ref="N464">_xlfn.IFS(L464&lt;500," VeryLow",L464&lt;1000,"Low",L464&lt;2000,"Medium",L464&lt;3000,"High",L464&lt;5000,"VeryHigh")</f>
        <v>Medium</v>
      </c>
      <c r="O464" t="str" cm="1">
        <f t="array" ref="O464">_xlfn.IFS(G464&lt;0.09,"Low",G464&lt;0.2,"Medium",G464&lt;0.4,"High")</f>
        <v>Medium</v>
      </c>
    </row>
    <row r="465" spans="1:15" x14ac:dyDescent="0.3">
      <c r="A465">
        <v>10464</v>
      </c>
      <c r="B465" s="1">
        <v>45025</v>
      </c>
      <c r="C465">
        <v>2047</v>
      </c>
      <c r="D465" t="s">
        <v>12</v>
      </c>
      <c r="E465">
        <v>3</v>
      </c>
      <c r="F465">
        <v>324.42</v>
      </c>
      <c r="G465">
        <v>0.19</v>
      </c>
      <c r="H465" t="s">
        <v>17</v>
      </c>
      <c r="I465" t="s">
        <v>11</v>
      </c>
      <c r="J465">
        <f>amazon_store_sales_2022__1[[#This Row],[UnitPrice]]*amazon_store_sales_2022__1[[#This Row],[Quantity]]</f>
        <v>973.26</v>
      </c>
      <c r="K465">
        <f>amazon_store_sales_2022__1[[#This Row],[Total ]]*amazon_store_sales_2022__1[[#This Row],[Discount]]</f>
        <v>184.9194</v>
      </c>
      <c r="L465" s="13">
        <f>amazon_store_sales_2022__1[[#This Row],[Total ]]-amazon_store_sales_2022__1[[#This Row],[Total Discount]]</f>
        <v>788.34059999999999</v>
      </c>
      <c r="M465">
        <f>YEAR(amazon_store_sales_2022__1[[#This Row],[OrderDate]])</f>
        <v>2023</v>
      </c>
      <c r="N465" t="str" cm="1">
        <f t="array" ref="N465">_xlfn.IFS(L465&lt;500," VeryLow",L465&lt;1000,"Low",L465&lt;2000,"Medium",L465&lt;3000,"High",L465&lt;5000,"VeryHigh")</f>
        <v>Low</v>
      </c>
      <c r="O465" t="str" cm="1">
        <f t="array" ref="O465">_xlfn.IFS(G465&lt;0.09,"Low",G465&lt;0.2,"Medium",G465&lt;0.4,"High")</f>
        <v>Medium</v>
      </c>
    </row>
    <row r="466" spans="1:15" x14ac:dyDescent="0.3">
      <c r="A466">
        <v>10465</v>
      </c>
      <c r="B466" s="1">
        <v>45026</v>
      </c>
      <c r="C466">
        <v>2099</v>
      </c>
      <c r="D466" t="s">
        <v>14</v>
      </c>
      <c r="E466">
        <v>4</v>
      </c>
      <c r="F466">
        <v>299.89999999999998</v>
      </c>
      <c r="G466">
        <v>0.06</v>
      </c>
      <c r="H466" t="s">
        <v>17</v>
      </c>
      <c r="I466" t="s">
        <v>18</v>
      </c>
      <c r="J466">
        <f>amazon_store_sales_2022__1[[#This Row],[UnitPrice]]*amazon_store_sales_2022__1[[#This Row],[Quantity]]</f>
        <v>1199.5999999999999</v>
      </c>
      <c r="K466">
        <f>amazon_store_sales_2022__1[[#This Row],[Total ]]*amazon_store_sales_2022__1[[#This Row],[Discount]]</f>
        <v>71.975999999999985</v>
      </c>
      <c r="L466" s="13">
        <f>amazon_store_sales_2022__1[[#This Row],[Total ]]-amazon_store_sales_2022__1[[#This Row],[Total Discount]]</f>
        <v>1127.624</v>
      </c>
      <c r="M466">
        <f>YEAR(amazon_store_sales_2022__1[[#This Row],[OrderDate]])</f>
        <v>2023</v>
      </c>
      <c r="N466" t="str" cm="1">
        <f t="array" ref="N466">_xlfn.IFS(L466&lt;500," VeryLow",L466&lt;1000,"Low",L466&lt;2000,"Medium",L466&lt;3000,"High",L466&lt;5000,"VeryHigh")</f>
        <v>Medium</v>
      </c>
      <c r="O466" t="str" cm="1">
        <f t="array" ref="O466">_xlfn.IFS(G466&lt;0.09,"Low",G466&lt;0.2,"Medium",G466&lt;0.4,"High")</f>
        <v>Low</v>
      </c>
    </row>
    <row r="467" spans="1:15" x14ac:dyDescent="0.3">
      <c r="A467">
        <v>10466</v>
      </c>
      <c r="B467" s="1">
        <v>45027</v>
      </c>
      <c r="C467">
        <v>2055</v>
      </c>
      <c r="D467" t="s">
        <v>12</v>
      </c>
      <c r="E467">
        <v>1</v>
      </c>
      <c r="F467">
        <v>203.59</v>
      </c>
      <c r="G467">
        <v>0.27</v>
      </c>
      <c r="H467" t="s">
        <v>15</v>
      </c>
      <c r="I467" t="s">
        <v>18</v>
      </c>
      <c r="J467">
        <f>amazon_store_sales_2022__1[[#This Row],[UnitPrice]]*amazon_store_sales_2022__1[[#This Row],[Quantity]]</f>
        <v>203.59</v>
      </c>
      <c r="K467">
        <f>amazon_store_sales_2022__1[[#This Row],[Total ]]*amazon_store_sales_2022__1[[#This Row],[Discount]]</f>
        <v>54.969300000000004</v>
      </c>
      <c r="L467" s="13">
        <f>amazon_store_sales_2022__1[[#This Row],[Total ]]-amazon_store_sales_2022__1[[#This Row],[Total Discount]]</f>
        <v>148.6207</v>
      </c>
      <c r="M467">
        <f>YEAR(amazon_store_sales_2022__1[[#This Row],[OrderDate]])</f>
        <v>2023</v>
      </c>
      <c r="N467" t="str" cm="1">
        <f t="array" ref="N467">_xlfn.IFS(L467&lt;500," VeryLow",L467&lt;1000,"Low",L467&lt;2000,"Medium",L467&lt;3000,"High",L467&lt;5000,"VeryHigh")</f>
        <v xml:space="preserve"> VeryLow</v>
      </c>
      <c r="O467" t="str" cm="1">
        <f t="array" ref="O467">_xlfn.IFS(G467&lt;0.09,"Low",G467&lt;0.2,"Medium",G467&lt;0.4,"High")</f>
        <v>High</v>
      </c>
    </row>
    <row r="468" spans="1:15" x14ac:dyDescent="0.3">
      <c r="A468">
        <v>10467</v>
      </c>
      <c r="B468" s="1">
        <v>45028</v>
      </c>
      <c r="C468">
        <v>2040</v>
      </c>
      <c r="D468" t="s">
        <v>14</v>
      </c>
      <c r="E468">
        <v>3</v>
      </c>
      <c r="F468">
        <v>186.64</v>
      </c>
      <c r="G468">
        <v>0.16</v>
      </c>
      <c r="H468" t="s">
        <v>17</v>
      </c>
      <c r="I468" t="s">
        <v>11</v>
      </c>
      <c r="J468">
        <f>amazon_store_sales_2022__1[[#This Row],[UnitPrice]]*amazon_store_sales_2022__1[[#This Row],[Quantity]]</f>
        <v>559.91999999999996</v>
      </c>
      <c r="K468">
        <f>amazon_store_sales_2022__1[[#This Row],[Total ]]*amazon_store_sales_2022__1[[#This Row],[Discount]]</f>
        <v>89.587199999999996</v>
      </c>
      <c r="L468" s="13">
        <f>amazon_store_sales_2022__1[[#This Row],[Total ]]-amazon_store_sales_2022__1[[#This Row],[Total Discount]]</f>
        <v>470.33279999999996</v>
      </c>
      <c r="M468">
        <f>YEAR(amazon_store_sales_2022__1[[#This Row],[OrderDate]])</f>
        <v>2023</v>
      </c>
      <c r="N468" t="str" cm="1">
        <f t="array" ref="N468">_xlfn.IFS(L468&lt;500," VeryLow",L468&lt;1000,"Low",L468&lt;2000,"Medium",L468&lt;3000,"High",L468&lt;5000,"VeryHigh")</f>
        <v xml:space="preserve"> VeryLow</v>
      </c>
      <c r="O468" t="str" cm="1">
        <f t="array" ref="O468">_xlfn.IFS(G468&lt;0.09,"Low",G468&lt;0.2,"Medium",G468&lt;0.4,"High")</f>
        <v>Medium</v>
      </c>
    </row>
    <row r="469" spans="1:15" x14ac:dyDescent="0.3">
      <c r="A469">
        <v>10468</v>
      </c>
      <c r="B469" s="1">
        <v>45029</v>
      </c>
      <c r="C469">
        <v>2052</v>
      </c>
      <c r="D469" t="s">
        <v>16</v>
      </c>
      <c r="E469">
        <v>2</v>
      </c>
      <c r="F469">
        <v>175.06</v>
      </c>
      <c r="G469">
        <v>0.13</v>
      </c>
      <c r="H469" t="s">
        <v>17</v>
      </c>
      <c r="I469" t="s">
        <v>18</v>
      </c>
      <c r="J469">
        <f>amazon_store_sales_2022__1[[#This Row],[UnitPrice]]*amazon_store_sales_2022__1[[#This Row],[Quantity]]</f>
        <v>350.12</v>
      </c>
      <c r="K469">
        <f>amazon_store_sales_2022__1[[#This Row],[Total ]]*amazon_store_sales_2022__1[[#This Row],[Discount]]</f>
        <v>45.515599999999999</v>
      </c>
      <c r="L469" s="13">
        <f>amazon_store_sales_2022__1[[#This Row],[Total ]]-amazon_store_sales_2022__1[[#This Row],[Total Discount]]</f>
        <v>304.6044</v>
      </c>
      <c r="M469">
        <f>YEAR(amazon_store_sales_2022__1[[#This Row],[OrderDate]])</f>
        <v>2023</v>
      </c>
      <c r="N469" t="str" cm="1">
        <f t="array" ref="N469">_xlfn.IFS(L469&lt;500," VeryLow",L469&lt;1000,"Low",L469&lt;2000,"Medium",L469&lt;3000,"High",L469&lt;5000,"VeryHigh")</f>
        <v xml:space="preserve"> VeryLow</v>
      </c>
      <c r="O469" t="str" cm="1">
        <f t="array" ref="O469">_xlfn.IFS(G469&lt;0.09,"Low",G469&lt;0.2,"Medium",G469&lt;0.4,"High")</f>
        <v>Medium</v>
      </c>
    </row>
    <row r="470" spans="1:15" x14ac:dyDescent="0.3">
      <c r="A470">
        <v>10469</v>
      </c>
      <c r="B470" s="1">
        <v>45030</v>
      </c>
      <c r="C470">
        <v>2016</v>
      </c>
      <c r="D470" t="s">
        <v>9</v>
      </c>
      <c r="E470">
        <v>2</v>
      </c>
      <c r="F470">
        <v>310.49</v>
      </c>
      <c r="G470">
        <v>0.17</v>
      </c>
      <c r="H470" t="s">
        <v>20</v>
      </c>
      <c r="I470" t="s">
        <v>18</v>
      </c>
      <c r="J470">
        <f>amazon_store_sales_2022__1[[#This Row],[UnitPrice]]*amazon_store_sales_2022__1[[#This Row],[Quantity]]</f>
        <v>620.98</v>
      </c>
      <c r="K470">
        <f>amazon_store_sales_2022__1[[#This Row],[Total ]]*amazon_store_sales_2022__1[[#This Row],[Discount]]</f>
        <v>105.56660000000001</v>
      </c>
      <c r="L470" s="13">
        <f>amazon_store_sales_2022__1[[#This Row],[Total ]]-amazon_store_sales_2022__1[[#This Row],[Total Discount]]</f>
        <v>515.41340000000002</v>
      </c>
      <c r="M470">
        <f>YEAR(amazon_store_sales_2022__1[[#This Row],[OrderDate]])</f>
        <v>2023</v>
      </c>
      <c r="N470" t="str" cm="1">
        <f t="array" ref="N470">_xlfn.IFS(L470&lt;500," VeryLow",L470&lt;1000,"Low",L470&lt;2000,"Medium",L470&lt;3000,"High",L470&lt;5000,"VeryHigh")</f>
        <v>Low</v>
      </c>
      <c r="O470" t="str" cm="1">
        <f t="array" ref="O470">_xlfn.IFS(G470&lt;0.09,"Low",G470&lt;0.2,"Medium",G470&lt;0.4,"High")</f>
        <v>Medium</v>
      </c>
    </row>
    <row r="471" spans="1:15" x14ac:dyDescent="0.3">
      <c r="A471">
        <v>10470</v>
      </c>
      <c r="B471" s="1">
        <v>45031</v>
      </c>
      <c r="C471">
        <v>2013</v>
      </c>
      <c r="D471" t="s">
        <v>16</v>
      </c>
      <c r="E471">
        <v>1</v>
      </c>
      <c r="F471">
        <v>223.99</v>
      </c>
      <c r="G471">
        <v>0.05</v>
      </c>
      <c r="H471" t="s">
        <v>13</v>
      </c>
      <c r="I471" t="s">
        <v>18</v>
      </c>
      <c r="J471">
        <f>amazon_store_sales_2022__1[[#This Row],[UnitPrice]]*amazon_store_sales_2022__1[[#This Row],[Quantity]]</f>
        <v>223.99</v>
      </c>
      <c r="K471">
        <f>amazon_store_sales_2022__1[[#This Row],[Total ]]*amazon_store_sales_2022__1[[#This Row],[Discount]]</f>
        <v>11.1995</v>
      </c>
      <c r="L471" s="13">
        <f>amazon_store_sales_2022__1[[#This Row],[Total ]]-amazon_store_sales_2022__1[[#This Row],[Total Discount]]</f>
        <v>212.79050000000001</v>
      </c>
      <c r="M471">
        <f>YEAR(amazon_store_sales_2022__1[[#This Row],[OrderDate]])</f>
        <v>2023</v>
      </c>
      <c r="N471" t="str" cm="1">
        <f t="array" ref="N471">_xlfn.IFS(L471&lt;500," VeryLow",L471&lt;1000,"Low",L471&lt;2000,"Medium",L471&lt;3000,"High",L471&lt;5000,"VeryHigh")</f>
        <v xml:space="preserve"> VeryLow</v>
      </c>
      <c r="O471" t="str" cm="1">
        <f t="array" ref="O471">_xlfn.IFS(G471&lt;0.09,"Low",G471&lt;0.2,"Medium",G471&lt;0.4,"High")</f>
        <v>Low</v>
      </c>
    </row>
    <row r="472" spans="1:15" x14ac:dyDescent="0.3">
      <c r="A472">
        <v>10471</v>
      </c>
      <c r="B472" s="1">
        <v>45032</v>
      </c>
      <c r="C472">
        <v>2030</v>
      </c>
      <c r="D472" t="s">
        <v>12</v>
      </c>
      <c r="E472">
        <v>8</v>
      </c>
      <c r="F472">
        <v>416.77</v>
      </c>
      <c r="G472">
        <v>0.18</v>
      </c>
      <c r="H472" t="s">
        <v>15</v>
      </c>
      <c r="I472" t="s">
        <v>11</v>
      </c>
      <c r="J472">
        <f>amazon_store_sales_2022__1[[#This Row],[UnitPrice]]*amazon_store_sales_2022__1[[#This Row],[Quantity]]</f>
        <v>3334.16</v>
      </c>
      <c r="K472">
        <f>amazon_store_sales_2022__1[[#This Row],[Total ]]*amazon_store_sales_2022__1[[#This Row],[Discount]]</f>
        <v>600.14879999999994</v>
      </c>
      <c r="L472" s="13">
        <f>amazon_store_sales_2022__1[[#This Row],[Total ]]-amazon_store_sales_2022__1[[#This Row],[Total Discount]]</f>
        <v>2734.0111999999999</v>
      </c>
      <c r="M472">
        <f>YEAR(amazon_store_sales_2022__1[[#This Row],[OrderDate]])</f>
        <v>2023</v>
      </c>
      <c r="N472" t="str" cm="1">
        <f t="array" ref="N472">_xlfn.IFS(L472&lt;500," VeryLow",L472&lt;1000,"Low",L472&lt;2000,"Medium",L472&lt;3000,"High",L472&lt;5000,"VeryHigh")</f>
        <v>High</v>
      </c>
      <c r="O472" t="str" cm="1">
        <f t="array" ref="O472">_xlfn.IFS(G472&lt;0.09,"Low",G472&lt;0.2,"Medium",G472&lt;0.4,"High")</f>
        <v>Medium</v>
      </c>
    </row>
    <row r="473" spans="1:15" x14ac:dyDescent="0.3">
      <c r="A473">
        <v>10472</v>
      </c>
      <c r="B473" s="1">
        <v>45033</v>
      </c>
      <c r="C473">
        <v>2019</v>
      </c>
      <c r="D473" t="s">
        <v>9</v>
      </c>
      <c r="E473">
        <v>3</v>
      </c>
      <c r="F473">
        <v>336.45</v>
      </c>
      <c r="G473">
        <v>0.11</v>
      </c>
      <c r="H473" t="s">
        <v>15</v>
      </c>
      <c r="I473" t="s">
        <v>11</v>
      </c>
      <c r="J473">
        <f>amazon_store_sales_2022__1[[#This Row],[UnitPrice]]*amazon_store_sales_2022__1[[#This Row],[Quantity]]</f>
        <v>1009.3499999999999</v>
      </c>
      <c r="K473">
        <f>amazon_store_sales_2022__1[[#This Row],[Total ]]*amazon_store_sales_2022__1[[#This Row],[Discount]]</f>
        <v>111.02849999999999</v>
      </c>
      <c r="L473" s="13">
        <f>amazon_store_sales_2022__1[[#This Row],[Total ]]-amazon_store_sales_2022__1[[#This Row],[Total Discount]]</f>
        <v>898.3214999999999</v>
      </c>
      <c r="M473">
        <f>YEAR(amazon_store_sales_2022__1[[#This Row],[OrderDate]])</f>
        <v>2023</v>
      </c>
      <c r="N473" t="str" cm="1">
        <f t="array" ref="N473">_xlfn.IFS(L473&lt;500," VeryLow",L473&lt;1000,"Low",L473&lt;2000,"Medium",L473&lt;3000,"High",L473&lt;5000,"VeryHigh")</f>
        <v>Low</v>
      </c>
      <c r="O473" t="str" cm="1">
        <f t="array" ref="O473">_xlfn.IFS(G473&lt;0.09,"Low",G473&lt;0.2,"Medium",G473&lt;0.4,"High")</f>
        <v>Medium</v>
      </c>
    </row>
    <row r="474" spans="1:15" x14ac:dyDescent="0.3">
      <c r="A474">
        <v>10473</v>
      </c>
      <c r="B474" s="1">
        <v>45034</v>
      </c>
      <c r="C474">
        <v>2017</v>
      </c>
      <c r="D474" t="s">
        <v>14</v>
      </c>
      <c r="E474">
        <v>3</v>
      </c>
      <c r="F474">
        <v>39.619999999999997</v>
      </c>
      <c r="G474">
        <v>0.27</v>
      </c>
      <c r="H474" t="s">
        <v>15</v>
      </c>
      <c r="I474" t="s">
        <v>11</v>
      </c>
      <c r="J474">
        <f>amazon_store_sales_2022__1[[#This Row],[UnitPrice]]*amazon_store_sales_2022__1[[#This Row],[Quantity]]</f>
        <v>118.85999999999999</v>
      </c>
      <c r="K474">
        <f>amazon_store_sales_2022__1[[#This Row],[Total ]]*amazon_store_sales_2022__1[[#This Row],[Discount]]</f>
        <v>32.092199999999998</v>
      </c>
      <c r="L474" s="13">
        <f>amazon_store_sales_2022__1[[#This Row],[Total ]]-amazon_store_sales_2022__1[[#This Row],[Total Discount]]</f>
        <v>86.767799999999994</v>
      </c>
      <c r="M474">
        <f>YEAR(amazon_store_sales_2022__1[[#This Row],[OrderDate]])</f>
        <v>2023</v>
      </c>
      <c r="N474" t="str" cm="1">
        <f t="array" ref="N474">_xlfn.IFS(L474&lt;500," VeryLow",L474&lt;1000,"Low",L474&lt;2000,"Medium",L474&lt;3000,"High",L474&lt;5000,"VeryHigh")</f>
        <v xml:space="preserve"> VeryLow</v>
      </c>
      <c r="O474" t="str" cm="1">
        <f t="array" ref="O474">_xlfn.IFS(G474&lt;0.09,"Low",G474&lt;0.2,"Medium",G474&lt;0.4,"High")</f>
        <v>High</v>
      </c>
    </row>
    <row r="475" spans="1:15" x14ac:dyDescent="0.3">
      <c r="A475">
        <v>10474</v>
      </c>
      <c r="B475" s="1">
        <v>45035</v>
      </c>
      <c r="C475">
        <v>2063</v>
      </c>
      <c r="D475" t="s">
        <v>9</v>
      </c>
      <c r="E475">
        <v>6</v>
      </c>
      <c r="F475">
        <v>321.88</v>
      </c>
      <c r="G475">
        <v>0.05</v>
      </c>
      <c r="H475" t="s">
        <v>20</v>
      </c>
      <c r="I475" t="s">
        <v>18</v>
      </c>
      <c r="J475">
        <f>amazon_store_sales_2022__1[[#This Row],[UnitPrice]]*amazon_store_sales_2022__1[[#This Row],[Quantity]]</f>
        <v>1931.28</v>
      </c>
      <c r="K475">
        <f>amazon_store_sales_2022__1[[#This Row],[Total ]]*amazon_store_sales_2022__1[[#This Row],[Discount]]</f>
        <v>96.564000000000007</v>
      </c>
      <c r="L475" s="13">
        <f>amazon_store_sales_2022__1[[#This Row],[Total ]]-amazon_store_sales_2022__1[[#This Row],[Total Discount]]</f>
        <v>1834.7159999999999</v>
      </c>
      <c r="M475">
        <f>YEAR(amazon_store_sales_2022__1[[#This Row],[OrderDate]])</f>
        <v>2023</v>
      </c>
      <c r="N475" t="str" cm="1">
        <f t="array" ref="N475">_xlfn.IFS(L475&lt;500," VeryLow",L475&lt;1000,"Low",L475&lt;2000,"Medium",L475&lt;3000,"High",L475&lt;5000,"VeryHigh")</f>
        <v>Medium</v>
      </c>
      <c r="O475" t="str" cm="1">
        <f t="array" ref="O475">_xlfn.IFS(G475&lt;0.09,"Low",G475&lt;0.2,"Medium",G475&lt;0.4,"High")</f>
        <v>Low</v>
      </c>
    </row>
    <row r="476" spans="1:15" x14ac:dyDescent="0.3">
      <c r="A476">
        <v>10475</v>
      </c>
      <c r="B476" s="1">
        <v>45036</v>
      </c>
      <c r="C476">
        <v>2019</v>
      </c>
      <c r="D476" t="s">
        <v>19</v>
      </c>
      <c r="E476">
        <v>8</v>
      </c>
      <c r="F476">
        <v>139.22</v>
      </c>
      <c r="G476">
        <v>0.15</v>
      </c>
      <c r="H476" t="s">
        <v>17</v>
      </c>
      <c r="I476" t="s">
        <v>18</v>
      </c>
      <c r="J476">
        <f>amazon_store_sales_2022__1[[#This Row],[UnitPrice]]*amazon_store_sales_2022__1[[#This Row],[Quantity]]</f>
        <v>1113.76</v>
      </c>
      <c r="K476">
        <f>amazon_store_sales_2022__1[[#This Row],[Total ]]*amazon_store_sales_2022__1[[#This Row],[Discount]]</f>
        <v>167.06399999999999</v>
      </c>
      <c r="L476" s="13">
        <f>amazon_store_sales_2022__1[[#This Row],[Total ]]-amazon_store_sales_2022__1[[#This Row],[Total Discount]]</f>
        <v>946.69600000000003</v>
      </c>
      <c r="M476">
        <f>YEAR(amazon_store_sales_2022__1[[#This Row],[OrderDate]])</f>
        <v>2023</v>
      </c>
      <c r="N476" t="str" cm="1">
        <f t="array" ref="N476">_xlfn.IFS(L476&lt;500," VeryLow",L476&lt;1000,"Low",L476&lt;2000,"Medium",L476&lt;3000,"High",L476&lt;5000,"VeryHigh")</f>
        <v>Low</v>
      </c>
      <c r="O476" t="str" cm="1">
        <f t="array" ref="O476">_xlfn.IFS(G476&lt;0.09,"Low",G476&lt;0.2,"Medium",G476&lt;0.4,"High")</f>
        <v>Medium</v>
      </c>
    </row>
    <row r="477" spans="1:15" x14ac:dyDescent="0.3">
      <c r="A477">
        <v>10476</v>
      </c>
      <c r="B477" s="1">
        <v>45037</v>
      </c>
      <c r="C477">
        <v>2092</v>
      </c>
      <c r="D477" t="s">
        <v>9</v>
      </c>
      <c r="E477">
        <v>9</v>
      </c>
      <c r="F477">
        <v>298.44</v>
      </c>
      <c r="G477">
        <v>0.18</v>
      </c>
      <c r="H477" t="s">
        <v>13</v>
      </c>
      <c r="I477" t="s">
        <v>18</v>
      </c>
      <c r="J477">
        <f>amazon_store_sales_2022__1[[#This Row],[UnitPrice]]*amazon_store_sales_2022__1[[#This Row],[Quantity]]</f>
        <v>2685.96</v>
      </c>
      <c r="K477">
        <f>amazon_store_sales_2022__1[[#This Row],[Total ]]*amazon_store_sales_2022__1[[#This Row],[Discount]]</f>
        <v>483.47280000000001</v>
      </c>
      <c r="L477" s="13">
        <f>amazon_store_sales_2022__1[[#This Row],[Total ]]-amazon_store_sales_2022__1[[#This Row],[Total Discount]]</f>
        <v>2202.4872</v>
      </c>
      <c r="M477">
        <f>YEAR(amazon_store_sales_2022__1[[#This Row],[OrderDate]])</f>
        <v>2023</v>
      </c>
      <c r="N477" t="str" cm="1">
        <f t="array" ref="N477">_xlfn.IFS(L477&lt;500," VeryLow",L477&lt;1000,"Low",L477&lt;2000,"Medium",L477&lt;3000,"High",L477&lt;5000,"VeryHigh")</f>
        <v>High</v>
      </c>
      <c r="O477" t="str" cm="1">
        <f t="array" ref="O477">_xlfn.IFS(G477&lt;0.09,"Low",G477&lt;0.2,"Medium",G477&lt;0.4,"High")</f>
        <v>Medium</v>
      </c>
    </row>
    <row r="478" spans="1:15" x14ac:dyDescent="0.3">
      <c r="A478">
        <v>10477</v>
      </c>
      <c r="B478" s="1">
        <v>45038</v>
      </c>
      <c r="C478">
        <v>2058</v>
      </c>
      <c r="D478" t="s">
        <v>19</v>
      </c>
      <c r="E478">
        <v>9</v>
      </c>
      <c r="F478">
        <v>341.67</v>
      </c>
      <c r="G478">
        <v>0.01</v>
      </c>
      <c r="H478" t="s">
        <v>10</v>
      </c>
      <c r="I478" t="s">
        <v>18</v>
      </c>
      <c r="J478">
        <f>amazon_store_sales_2022__1[[#This Row],[UnitPrice]]*amazon_store_sales_2022__1[[#This Row],[Quantity]]</f>
        <v>3075.03</v>
      </c>
      <c r="K478">
        <f>amazon_store_sales_2022__1[[#This Row],[Total ]]*amazon_store_sales_2022__1[[#This Row],[Discount]]</f>
        <v>30.750300000000003</v>
      </c>
      <c r="L478" s="13">
        <f>amazon_store_sales_2022__1[[#This Row],[Total ]]-amazon_store_sales_2022__1[[#This Row],[Total Discount]]</f>
        <v>3044.2797</v>
      </c>
      <c r="M478">
        <f>YEAR(amazon_store_sales_2022__1[[#This Row],[OrderDate]])</f>
        <v>2023</v>
      </c>
      <c r="N478" t="str" cm="1">
        <f t="array" ref="N478">_xlfn.IFS(L478&lt;500," VeryLow",L478&lt;1000,"Low",L478&lt;2000,"Medium",L478&lt;3000,"High",L478&lt;5000,"VeryHigh")</f>
        <v>VeryHigh</v>
      </c>
      <c r="O478" t="str" cm="1">
        <f t="array" ref="O478">_xlfn.IFS(G478&lt;0.09,"Low",G478&lt;0.2,"Medium",G478&lt;0.4,"High")</f>
        <v>Low</v>
      </c>
    </row>
    <row r="479" spans="1:15" x14ac:dyDescent="0.3">
      <c r="A479">
        <v>10478</v>
      </c>
      <c r="B479" s="1">
        <v>45039</v>
      </c>
      <c r="C479">
        <v>2055</v>
      </c>
      <c r="D479" t="s">
        <v>9</v>
      </c>
      <c r="E479">
        <v>4</v>
      </c>
      <c r="F479">
        <v>119.26</v>
      </c>
      <c r="G479">
        <v>0.11</v>
      </c>
      <c r="H479" t="s">
        <v>17</v>
      </c>
      <c r="I479" t="s">
        <v>11</v>
      </c>
      <c r="J479">
        <f>amazon_store_sales_2022__1[[#This Row],[UnitPrice]]*amazon_store_sales_2022__1[[#This Row],[Quantity]]</f>
        <v>477.04</v>
      </c>
      <c r="K479">
        <f>amazon_store_sales_2022__1[[#This Row],[Total ]]*amazon_store_sales_2022__1[[#This Row],[Discount]]</f>
        <v>52.474400000000003</v>
      </c>
      <c r="L479" s="13">
        <f>amazon_store_sales_2022__1[[#This Row],[Total ]]-amazon_store_sales_2022__1[[#This Row],[Total Discount]]</f>
        <v>424.56560000000002</v>
      </c>
      <c r="M479">
        <f>YEAR(amazon_store_sales_2022__1[[#This Row],[OrderDate]])</f>
        <v>2023</v>
      </c>
      <c r="N479" t="str" cm="1">
        <f t="array" ref="N479">_xlfn.IFS(L479&lt;500," VeryLow",L479&lt;1000,"Low",L479&lt;2000,"Medium",L479&lt;3000,"High",L479&lt;5000,"VeryHigh")</f>
        <v xml:space="preserve"> VeryLow</v>
      </c>
      <c r="O479" t="str" cm="1">
        <f t="array" ref="O479">_xlfn.IFS(G479&lt;0.09,"Low",G479&lt;0.2,"Medium",G479&lt;0.4,"High")</f>
        <v>Medium</v>
      </c>
    </row>
    <row r="480" spans="1:15" x14ac:dyDescent="0.3">
      <c r="A480">
        <v>10479</v>
      </c>
      <c r="B480" s="1">
        <v>45040</v>
      </c>
      <c r="C480">
        <v>2090</v>
      </c>
      <c r="D480" t="s">
        <v>19</v>
      </c>
      <c r="E480">
        <v>5</v>
      </c>
      <c r="F480">
        <v>231.15</v>
      </c>
      <c r="G480">
        <v>0.22</v>
      </c>
      <c r="H480" t="s">
        <v>20</v>
      </c>
      <c r="I480" t="s">
        <v>18</v>
      </c>
      <c r="J480">
        <f>amazon_store_sales_2022__1[[#This Row],[UnitPrice]]*amazon_store_sales_2022__1[[#This Row],[Quantity]]</f>
        <v>1155.75</v>
      </c>
      <c r="K480">
        <f>amazon_store_sales_2022__1[[#This Row],[Total ]]*amazon_store_sales_2022__1[[#This Row],[Discount]]</f>
        <v>254.26500000000001</v>
      </c>
      <c r="L480" s="13">
        <f>amazon_store_sales_2022__1[[#This Row],[Total ]]-amazon_store_sales_2022__1[[#This Row],[Total Discount]]</f>
        <v>901.48500000000001</v>
      </c>
      <c r="M480">
        <f>YEAR(amazon_store_sales_2022__1[[#This Row],[OrderDate]])</f>
        <v>2023</v>
      </c>
      <c r="N480" t="str" cm="1">
        <f t="array" ref="N480">_xlfn.IFS(L480&lt;500," VeryLow",L480&lt;1000,"Low",L480&lt;2000,"Medium",L480&lt;3000,"High",L480&lt;5000,"VeryHigh")</f>
        <v>Low</v>
      </c>
      <c r="O480" t="str" cm="1">
        <f t="array" ref="O480">_xlfn.IFS(G480&lt;0.09,"Low",G480&lt;0.2,"Medium",G480&lt;0.4,"High")</f>
        <v>High</v>
      </c>
    </row>
    <row r="481" spans="1:15" x14ac:dyDescent="0.3">
      <c r="A481">
        <v>10480</v>
      </c>
      <c r="B481" s="1">
        <v>45041</v>
      </c>
      <c r="C481">
        <v>2090</v>
      </c>
      <c r="D481" t="s">
        <v>12</v>
      </c>
      <c r="E481">
        <v>2</v>
      </c>
      <c r="F481">
        <v>99.21</v>
      </c>
      <c r="G481">
        <v>0.25</v>
      </c>
      <c r="H481" t="s">
        <v>17</v>
      </c>
      <c r="I481" t="s">
        <v>18</v>
      </c>
      <c r="J481">
        <f>amazon_store_sales_2022__1[[#This Row],[UnitPrice]]*amazon_store_sales_2022__1[[#This Row],[Quantity]]</f>
        <v>198.42</v>
      </c>
      <c r="K481">
        <f>amazon_store_sales_2022__1[[#This Row],[Total ]]*amazon_store_sales_2022__1[[#This Row],[Discount]]</f>
        <v>49.604999999999997</v>
      </c>
      <c r="L481" s="13">
        <f>amazon_store_sales_2022__1[[#This Row],[Total ]]-amazon_store_sales_2022__1[[#This Row],[Total Discount]]</f>
        <v>148.815</v>
      </c>
      <c r="M481">
        <f>YEAR(amazon_store_sales_2022__1[[#This Row],[OrderDate]])</f>
        <v>2023</v>
      </c>
      <c r="N481" t="str" cm="1">
        <f t="array" ref="N481">_xlfn.IFS(L481&lt;500," VeryLow",L481&lt;1000,"Low",L481&lt;2000,"Medium",L481&lt;3000,"High",L481&lt;5000,"VeryHigh")</f>
        <v xml:space="preserve"> VeryLow</v>
      </c>
      <c r="O481" t="str" cm="1">
        <f t="array" ref="O481">_xlfn.IFS(G481&lt;0.09,"Low",G481&lt;0.2,"Medium",G481&lt;0.4,"High")</f>
        <v>High</v>
      </c>
    </row>
    <row r="482" spans="1:15" x14ac:dyDescent="0.3">
      <c r="A482">
        <v>10481</v>
      </c>
      <c r="B482" s="1">
        <v>45042</v>
      </c>
      <c r="C482">
        <v>2062</v>
      </c>
      <c r="D482" t="s">
        <v>16</v>
      </c>
      <c r="E482">
        <v>9</v>
      </c>
      <c r="F482">
        <v>30.91</v>
      </c>
      <c r="G482">
        <v>0.09</v>
      </c>
      <c r="H482" t="s">
        <v>17</v>
      </c>
      <c r="I482" t="s">
        <v>18</v>
      </c>
      <c r="J482">
        <f>amazon_store_sales_2022__1[[#This Row],[UnitPrice]]*amazon_store_sales_2022__1[[#This Row],[Quantity]]</f>
        <v>278.19</v>
      </c>
      <c r="K482">
        <f>amazon_store_sales_2022__1[[#This Row],[Total ]]*amazon_store_sales_2022__1[[#This Row],[Discount]]</f>
        <v>25.037099999999999</v>
      </c>
      <c r="L482" s="13">
        <f>amazon_store_sales_2022__1[[#This Row],[Total ]]-amazon_store_sales_2022__1[[#This Row],[Total Discount]]</f>
        <v>253.15289999999999</v>
      </c>
      <c r="M482">
        <f>YEAR(amazon_store_sales_2022__1[[#This Row],[OrderDate]])</f>
        <v>2023</v>
      </c>
      <c r="N482" t="str" cm="1">
        <f t="array" ref="N482">_xlfn.IFS(L482&lt;500," VeryLow",L482&lt;1000,"Low",L482&lt;2000,"Medium",L482&lt;3000,"High",L482&lt;5000,"VeryHigh")</f>
        <v xml:space="preserve"> VeryLow</v>
      </c>
      <c r="O482" t="str" cm="1">
        <f t="array" ref="O482">_xlfn.IFS(G482&lt;0.09,"Low",G482&lt;0.2,"Medium",G482&lt;0.4,"High")</f>
        <v>Medium</v>
      </c>
    </row>
    <row r="483" spans="1:15" x14ac:dyDescent="0.3">
      <c r="A483">
        <v>10482</v>
      </c>
      <c r="B483" s="1">
        <v>45043</v>
      </c>
      <c r="C483">
        <v>2023</v>
      </c>
      <c r="D483" t="s">
        <v>14</v>
      </c>
      <c r="E483">
        <v>8</v>
      </c>
      <c r="F483">
        <v>192.35</v>
      </c>
      <c r="G483">
        <v>0.24</v>
      </c>
      <c r="H483" t="s">
        <v>20</v>
      </c>
      <c r="I483" t="s">
        <v>11</v>
      </c>
      <c r="J483">
        <f>amazon_store_sales_2022__1[[#This Row],[UnitPrice]]*amazon_store_sales_2022__1[[#This Row],[Quantity]]</f>
        <v>1538.8</v>
      </c>
      <c r="K483">
        <f>amazon_store_sales_2022__1[[#This Row],[Total ]]*amazon_store_sales_2022__1[[#This Row],[Discount]]</f>
        <v>369.31199999999995</v>
      </c>
      <c r="L483" s="13">
        <f>amazon_store_sales_2022__1[[#This Row],[Total ]]-amazon_store_sales_2022__1[[#This Row],[Total Discount]]</f>
        <v>1169.4880000000001</v>
      </c>
      <c r="M483">
        <f>YEAR(amazon_store_sales_2022__1[[#This Row],[OrderDate]])</f>
        <v>2023</v>
      </c>
      <c r="N483" t="str" cm="1">
        <f t="array" ref="N483">_xlfn.IFS(L483&lt;500," VeryLow",L483&lt;1000,"Low",L483&lt;2000,"Medium",L483&lt;3000,"High",L483&lt;5000,"VeryHigh")</f>
        <v>Medium</v>
      </c>
      <c r="O483" t="str" cm="1">
        <f t="array" ref="O483">_xlfn.IFS(G483&lt;0.09,"Low",G483&lt;0.2,"Medium",G483&lt;0.4,"High")</f>
        <v>High</v>
      </c>
    </row>
    <row r="484" spans="1:15" x14ac:dyDescent="0.3">
      <c r="A484">
        <v>10483</v>
      </c>
      <c r="B484" s="1">
        <v>45044</v>
      </c>
      <c r="C484">
        <v>2009</v>
      </c>
      <c r="D484" t="s">
        <v>9</v>
      </c>
      <c r="E484">
        <v>3</v>
      </c>
      <c r="F484">
        <v>184.66</v>
      </c>
      <c r="G484">
        <v>0.28999999999999998</v>
      </c>
      <c r="H484" t="s">
        <v>15</v>
      </c>
      <c r="I484" t="s">
        <v>18</v>
      </c>
      <c r="J484">
        <f>amazon_store_sales_2022__1[[#This Row],[UnitPrice]]*amazon_store_sales_2022__1[[#This Row],[Quantity]]</f>
        <v>553.98</v>
      </c>
      <c r="K484">
        <f>amazon_store_sales_2022__1[[#This Row],[Total ]]*amazon_store_sales_2022__1[[#This Row],[Discount]]</f>
        <v>160.6542</v>
      </c>
      <c r="L484" s="13">
        <f>amazon_store_sales_2022__1[[#This Row],[Total ]]-amazon_store_sales_2022__1[[#This Row],[Total Discount]]</f>
        <v>393.32580000000002</v>
      </c>
      <c r="M484">
        <f>YEAR(amazon_store_sales_2022__1[[#This Row],[OrderDate]])</f>
        <v>2023</v>
      </c>
      <c r="N484" t="str" cm="1">
        <f t="array" ref="N484">_xlfn.IFS(L484&lt;500," VeryLow",L484&lt;1000,"Low",L484&lt;2000,"Medium",L484&lt;3000,"High",L484&lt;5000,"VeryHigh")</f>
        <v xml:space="preserve"> VeryLow</v>
      </c>
      <c r="O484" t="str" cm="1">
        <f t="array" ref="O484">_xlfn.IFS(G484&lt;0.09,"Low",G484&lt;0.2,"Medium",G484&lt;0.4,"High")</f>
        <v>High</v>
      </c>
    </row>
    <row r="485" spans="1:15" x14ac:dyDescent="0.3">
      <c r="A485">
        <v>10484</v>
      </c>
      <c r="B485" s="1">
        <v>45045</v>
      </c>
      <c r="C485">
        <v>2012</v>
      </c>
      <c r="D485" t="s">
        <v>16</v>
      </c>
      <c r="E485">
        <v>9</v>
      </c>
      <c r="F485">
        <v>497.76</v>
      </c>
      <c r="G485">
        <v>0.26</v>
      </c>
      <c r="H485" t="s">
        <v>15</v>
      </c>
      <c r="I485" t="s">
        <v>18</v>
      </c>
      <c r="J485">
        <f>amazon_store_sales_2022__1[[#This Row],[UnitPrice]]*amazon_store_sales_2022__1[[#This Row],[Quantity]]</f>
        <v>4479.84</v>
      </c>
      <c r="K485">
        <f>amazon_store_sales_2022__1[[#This Row],[Total ]]*amazon_store_sales_2022__1[[#This Row],[Discount]]</f>
        <v>1164.7584000000002</v>
      </c>
      <c r="L485" s="13">
        <f>amazon_store_sales_2022__1[[#This Row],[Total ]]-amazon_store_sales_2022__1[[#This Row],[Total Discount]]</f>
        <v>3315.0816</v>
      </c>
      <c r="M485">
        <f>YEAR(amazon_store_sales_2022__1[[#This Row],[OrderDate]])</f>
        <v>2023</v>
      </c>
      <c r="N485" t="str" cm="1">
        <f t="array" ref="N485">_xlfn.IFS(L485&lt;500," VeryLow",L485&lt;1000,"Low",L485&lt;2000,"Medium",L485&lt;3000,"High",L485&lt;5000,"VeryHigh")</f>
        <v>VeryHigh</v>
      </c>
      <c r="O485" t="str" cm="1">
        <f t="array" ref="O485">_xlfn.IFS(G485&lt;0.09,"Low",G485&lt;0.2,"Medium",G485&lt;0.4,"High")</f>
        <v>High</v>
      </c>
    </row>
    <row r="486" spans="1:15" x14ac:dyDescent="0.3">
      <c r="A486">
        <v>10485</v>
      </c>
      <c r="B486" s="1">
        <v>45046</v>
      </c>
      <c r="C486">
        <v>2001</v>
      </c>
      <c r="D486" t="s">
        <v>14</v>
      </c>
      <c r="E486">
        <v>3</v>
      </c>
      <c r="F486">
        <v>225.94</v>
      </c>
      <c r="G486">
        <v>0.04</v>
      </c>
      <c r="H486" t="s">
        <v>13</v>
      </c>
      <c r="I486" t="s">
        <v>18</v>
      </c>
      <c r="J486">
        <f>amazon_store_sales_2022__1[[#This Row],[UnitPrice]]*amazon_store_sales_2022__1[[#This Row],[Quantity]]</f>
        <v>677.81999999999994</v>
      </c>
      <c r="K486">
        <f>amazon_store_sales_2022__1[[#This Row],[Total ]]*amazon_store_sales_2022__1[[#This Row],[Discount]]</f>
        <v>27.112799999999996</v>
      </c>
      <c r="L486" s="13">
        <f>amazon_store_sales_2022__1[[#This Row],[Total ]]-amazon_store_sales_2022__1[[#This Row],[Total Discount]]</f>
        <v>650.70719999999994</v>
      </c>
      <c r="M486">
        <f>YEAR(amazon_store_sales_2022__1[[#This Row],[OrderDate]])</f>
        <v>2023</v>
      </c>
      <c r="N486" t="str" cm="1">
        <f t="array" ref="N486">_xlfn.IFS(L486&lt;500," VeryLow",L486&lt;1000,"Low",L486&lt;2000,"Medium",L486&lt;3000,"High",L486&lt;5000,"VeryHigh")</f>
        <v>Low</v>
      </c>
      <c r="O486" t="str" cm="1">
        <f t="array" ref="O486">_xlfn.IFS(G486&lt;0.09,"Low",G486&lt;0.2,"Medium",G486&lt;0.4,"High")</f>
        <v>Low</v>
      </c>
    </row>
    <row r="487" spans="1:15" x14ac:dyDescent="0.3">
      <c r="A487">
        <v>10486</v>
      </c>
      <c r="B487" s="1">
        <v>45047</v>
      </c>
      <c r="C487">
        <v>2058</v>
      </c>
      <c r="D487" t="s">
        <v>14</v>
      </c>
      <c r="E487">
        <v>9</v>
      </c>
      <c r="F487">
        <v>170.12</v>
      </c>
      <c r="G487">
        <v>0.22</v>
      </c>
      <c r="H487" t="s">
        <v>13</v>
      </c>
      <c r="I487" t="s">
        <v>18</v>
      </c>
      <c r="J487">
        <f>amazon_store_sales_2022__1[[#This Row],[UnitPrice]]*amazon_store_sales_2022__1[[#This Row],[Quantity]]</f>
        <v>1531.08</v>
      </c>
      <c r="K487">
        <f>amazon_store_sales_2022__1[[#This Row],[Total ]]*amazon_store_sales_2022__1[[#This Row],[Discount]]</f>
        <v>336.83760000000001</v>
      </c>
      <c r="L487" s="13">
        <f>amazon_store_sales_2022__1[[#This Row],[Total ]]-amazon_store_sales_2022__1[[#This Row],[Total Discount]]</f>
        <v>1194.2423999999999</v>
      </c>
      <c r="M487">
        <f>YEAR(amazon_store_sales_2022__1[[#This Row],[OrderDate]])</f>
        <v>2023</v>
      </c>
      <c r="N487" t="str" cm="1">
        <f t="array" ref="N487">_xlfn.IFS(L487&lt;500," VeryLow",L487&lt;1000,"Low",L487&lt;2000,"Medium",L487&lt;3000,"High",L487&lt;5000,"VeryHigh")</f>
        <v>Medium</v>
      </c>
      <c r="O487" t="str" cm="1">
        <f t="array" ref="O487">_xlfn.IFS(G487&lt;0.09,"Low",G487&lt;0.2,"Medium",G487&lt;0.4,"High")</f>
        <v>High</v>
      </c>
    </row>
    <row r="488" spans="1:15" x14ac:dyDescent="0.3">
      <c r="A488">
        <v>10487</v>
      </c>
      <c r="B488" s="1">
        <v>45048</v>
      </c>
      <c r="C488">
        <v>2001</v>
      </c>
      <c r="D488" t="s">
        <v>19</v>
      </c>
      <c r="E488">
        <v>2</v>
      </c>
      <c r="F488">
        <v>292.33999999999997</v>
      </c>
      <c r="G488">
        <v>0.1</v>
      </c>
      <c r="H488" t="s">
        <v>15</v>
      </c>
      <c r="I488" t="s">
        <v>18</v>
      </c>
      <c r="J488">
        <f>amazon_store_sales_2022__1[[#This Row],[UnitPrice]]*amazon_store_sales_2022__1[[#This Row],[Quantity]]</f>
        <v>584.67999999999995</v>
      </c>
      <c r="K488">
        <f>amazon_store_sales_2022__1[[#This Row],[Total ]]*amazon_store_sales_2022__1[[#This Row],[Discount]]</f>
        <v>58.467999999999996</v>
      </c>
      <c r="L488" s="13">
        <f>amazon_store_sales_2022__1[[#This Row],[Total ]]-amazon_store_sales_2022__1[[#This Row],[Total Discount]]</f>
        <v>526.21199999999999</v>
      </c>
      <c r="M488">
        <f>YEAR(amazon_store_sales_2022__1[[#This Row],[OrderDate]])</f>
        <v>2023</v>
      </c>
      <c r="N488" t="str" cm="1">
        <f t="array" ref="N488">_xlfn.IFS(L488&lt;500," VeryLow",L488&lt;1000,"Low",L488&lt;2000,"Medium",L488&lt;3000,"High",L488&lt;5000,"VeryHigh")</f>
        <v>Low</v>
      </c>
      <c r="O488" t="str" cm="1">
        <f t="array" ref="O488">_xlfn.IFS(G488&lt;0.09,"Low",G488&lt;0.2,"Medium",G488&lt;0.4,"High")</f>
        <v>Medium</v>
      </c>
    </row>
    <row r="489" spans="1:15" x14ac:dyDescent="0.3">
      <c r="A489">
        <v>10488</v>
      </c>
      <c r="B489" s="1">
        <v>45049</v>
      </c>
      <c r="C489">
        <v>2034</v>
      </c>
      <c r="D489" t="s">
        <v>12</v>
      </c>
      <c r="E489">
        <v>9</v>
      </c>
      <c r="F489">
        <v>48.94</v>
      </c>
      <c r="G489">
        <v>0.3</v>
      </c>
      <c r="H489" t="s">
        <v>10</v>
      </c>
      <c r="I489" t="s">
        <v>11</v>
      </c>
      <c r="J489">
        <f>amazon_store_sales_2022__1[[#This Row],[UnitPrice]]*amazon_store_sales_2022__1[[#This Row],[Quantity]]</f>
        <v>440.46</v>
      </c>
      <c r="K489">
        <f>amazon_store_sales_2022__1[[#This Row],[Total ]]*amazon_store_sales_2022__1[[#This Row],[Discount]]</f>
        <v>132.13799999999998</v>
      </c>
      <c r="L489" s="13">
        <f>amazon_store_sales_2022__1[[#This Row],[Total ]]-amazon_store_sales_2022__1[[#This Row],[Total Discount]]</f>
        <v>308.322</v>
      </c>
      <c r="M489">
        <f>YEAR(amazon_store_sales_2022__1[[#This Row],[OrderDate]])</f>
        <v>2023</v>
      </c>
      <c r="N489" t="str" cm="1">
        <f t="array" ref="N489">_xlfn.IFS(L489&lt;500," VeryLow",L489&lt;1000,"Low",L489&lt;2000,"Medium",L489&lt;3000,"High",L489&lt;5000,"VeryHigh")</f>
        <v xml:space="preserve"> VeryLow</v>
      </c>
      <c r="O489" t="str" cm="1">
        <f t="array" ref="O489">_xlfn.IFS(G489&lt;0.09,"Low",G489&lt;0.2,"Medium",G489&lt;0.4,"High")</f>
        <v>High</v>
      </c>
    </row>
    <row r="490" spans="1:15" x14ac:dyDescent="0.3">
      <c r="A490">
        <v>10489</v>
      </c>
      <c r="B490" s="1">
        <v>45050</v>
      </c>
      <c r="C490">
        <v>2096</v>
      </c>
      <c r="D490" t="s">
        <v>12</v>
      </c>
      <c r="E490">
        <v>8</v>
      </c>
      <c r="F490">
        <v>481.02</v>
      </c>
      <c r="G490">
        <v>0.15</v>
      </c>
      <c r="H490" t="s">
        <v>17</v>
      </c>
      <c r="I490" t="s">
        <v>18</v>
      </c>
      <c r="J490">
        <f>amazon_store_sales_2022__1[[#This Row],[UnitPrice]]*amazon_store_sales_2022__1[[#This Row],[Quantity]]</f>
        <v>3848.16</v>
      </c>
      <c r="K490">
        <f>amazon_store_sales_2022__1[[#This Row],[Total ]]*amazon_store_sales_2022__1[[#This Row],[Discount]]</f>
        <v>577.22399999999993</v>
      </c>
      <c r="L490" s="13">
        <f>amazon_store_sales_2022__1[[#This Row],[Total ]]-amazon_store_sales_2022__1[[#This Row],[Total Discount]]</f>
        <v>3270.9359999999997</v>
      </c>
      <c r="M490">
        <f>YEAR(amazon_store_sales_2022__1[[#This Row],[OrderDate]])</f>
        <v>2023</v>
      </c>
      <c r="N490" t="str" cm="1">
        <f t="array" ref="N490">_xlfn.IFS(L490&lt;500," VeryLow",L490&lt;1000,"Low",L490&lt;2000,"Medium",L490&lt;3000,"High",L490&lt;5000,"VeryHigh")</f>
        <v>VeryHigh</v>
      </c>
      <c r="O490" t="str" cm="1">
        <f t="array" ref="O490">_xlfn.IFS(G490&lt;0.09,"Low",G490&lt;0.2,"Medium",G490&lt;0.4,"High")</f>
        <v>Medium</v>
      </c>
    </row>
    <row r="491" spans="1:15" x14ac:dyDescent="0.3">
      <c r="A491">
        <v>10490</v>
      </c>
      <c r="B491" s="1">
        <v>45051</v>
      </c>
      <c r="C491">
        <v>2048</v>
      </c>
      <c r="D491" t="s">
        <v>16</v>
      </c>
      <c r="E491">
        <v>9</v>
      </c>
      <c r="F491">
        <v>319.31</v>
      </c>
      <c r="G491">
        <v>0.04</v>
      </c>
      <c r="H491" t="s">
        <v>10</v>
      </c>
      <c r="I491" t="s">
        <v>18</v>
      </c>
      <c r="J491">
        <f>amazon_store_sales_2022__1[[#This Row],[UnitPrice]]*amazon_store_sales_2022__1[[#This Row],[Quantity]]</f>
        <v>2873.79</v>
      </c>
      <c r="K491">
        <f>amazon_store_sales_2022__1[[#This Row],[Total ]]*amazon_store_sales_2022__1[[#This Row],[Discount]]</f>
        <v>114.9516</v>
      </c>
      <c r="L491" s="13">
        <f>amazon_store_sales_2022__1[[#This Row],[Total ]]-amazon_store_sales_2022__1[[#This Row],[Total Discount]]</f>
        <v>2758.8384000000001</v>
      </c>
      <c r="M491">
        <f>YEAR(amazon_store_sales_2022__1[[#This Row],[OrderDate]])</f>
        <v>2023</v>
      </c>
      <c r="N491" t="str" cm="1">
        <f t="array" ref="N491">_xlfn.IFS(L491&lt;500," VeryLow",L491&lt;1000,"Low",L491&lt;2000,"Medium",L491&lt;3000,"High",L491&lt;5000,"VeryHigh")</f>
        <v>High</v>
      </c>
      <c r="O491" t="str" cm="1">
        <f t="array" ref="O491">_xlfn.IFS(G491&lt;0.09,"Low",G491&lt;0.2,"Medium",G491&lt;0.4,"High")</f>
        <v>Low</v>
      </c>
    </row>
    <row r="492" spans="1:15" x14ac:dyDescent="0.3">
      <c r="A492">
        <v>10491</v>
      </c>
      <c r="B492" s="1">
        <v>45052</v>
      </c>
      <c r="C492">
        <v>2089</v>
      </c>
      <c r="D492" t="s">
        <v>12</v>
      </c>
      <c r="E492">
        <v>5</v>
      </c>
      <c r="F492">
        <v>378.64</v>
      </c>
      <c r="G492">
        <v>0.22</v>
      </c>
      <c r="H492" t="s">
        <v>17</v>
      </c>
      <c r="I492" t="s">
        <v>18</v>
      </c>
      <c r="J492">
        <f>amazon_store_sales_2022__1[[#This Row],[UnitPrice]]*amazon_store_sales_2022__1[[#This Row],[Quantity]]</f>
        <v>1893.1999999999998</v>
      </c>
      <c r="K492">
        <f>amazon_store_sales_2022__1[[#This Row],[Total ]]*amazon_store_sales_2022__1[[#This Row],[Discount]]</f>
        <v>416.50399999999996</v>
      </c>
      <c r="L492" s="13">
        <f>amazon_store_sales_2022__1[[#This Row],[Total ]]-amazon_store_sales_2022__1[[#This Row],[Total Discount]]</f>
        <v>1476.6959999999999</v>
      </c>
      <c r="M492">
        <f>YEAR(amazon_store_sales_2022__1[[#This Row],[OrderDate]])</f>
        <v>2023</v>
      </c>
      <c r="N492" t="str" cm="1">
        <f t="array" ref="N492">_xlfn.IFS(L492&lt;500," VeryLow",L492&lt;1000,"Low",L492&lt;2000,"Medium",L492&lt;3000,"High",L492&lt;5000,"VeryHigh")</f>
        <v>Medium</v>
      </c>
      <c r="O492" t="str" cm="1">
        <f t="array" ref="O492">_xlfn.IFS(G492&lt;0.09,"Low",G492&lt;0.2,"Medium",G492&lt;0.4,"High")</f>
        <v>High</v>
      </c>
    </row>
    <row r="493" spans="1:15" x14ac:dyDescent="0.3">
      <c r="A493">
        <v>10492</v>
      </c>
      <c r="B493" s="1">
        <v>45053</v>
      </c>
      <c r="C493">
        <v>2001</v>
      </c>
      <c r="D493" t="s">
        <v>9</v>
      </c>
      <c r="E493">
        <v>2</v>
      </c>
      <c r="F493">
        <v>89.39</v>
      </c>
      <c r="G493">
        <v>0.1</v>
      </c>
      <c r="H493" t="s">
        <v>15</v>
      </c>
      <c r="I493" t="s">
        <v>18</v>
      </c>
      <c r="J493">
        <f>amazon_store_sales_2022__1[[#This Row],[UnitPrice]]*amazon_store_sales_2022__1[[#This Row],[Quantity]]</f>
        <v>178.78</v>
      </c>
      <c r="K493">
        <f>amazon_store_sales_2022__1[[#This Row],[Total ]]*amazon_store_sales_2022__1[[#This Row],[Discount]]</f>
        <v>17.878</v>
      </c>
      <c r="L493" s="13">
        <f>amazon_store_sales_2022__1[[#This Row],[Total ]]-amazon_store_sales_2022__1[[#This Row],[Total Discount]]</f>
        <v>160.90199999999999</v>
      </c>
      <c r="M493">
        <f>YEAR(amazon_store_sales_2022__1[[#This Row],[OrderDate]])</f>
        <v>2023</v>
      </c>
      <c r="N493" t="str" cm="1">
        <f t="array" ref="N493">_xlfn.IFS(L493&lt;500," VeryLow",L493&lt;1000,"Low",L493&lt;2000,"Medium",L493&lt;3000,"High",L493&lt;5000,"VeryHigh")</f>
        <v xml:space="preserve"> VeryLow</v>
      </c>
      <c r="O493" t="str" cm="1">
        <f t="array" ref="O493">_xlfn.IFS(G493&lt;0.09,"Low",G493&lt;0.2,"Medium",G493&lt;0.4,"High")</f>
        <v>Medium</v>
      </c>
    </row>
    <row r="494" spans="1:15" x14ac:dyDescent="0.3">
      <c r="A494">
        <v>10493</v>
      </c>
      <c r="B494" s="1">
        <v>45054</v>
      </c>
      <c r="C494">
        <v>2016</v>
      </c>
      <c r="D494" t="s">
        <v>12</v>
      </c>
      <c r="E494">
        <v>8</v>
      </c>
      <c r="F494">
        <v>207.69</v>
      </c>
      <c r="G494">
        <v>0.3</v>
      </c>
      <c r="H494" t="s">
        <v>13</v>
      </c>
      <c r="I494" t="s">
        <v>18</v>
      </c>
      <c r="J494">
        <f>amazon_store_sales_2022__1[[#This Row],[UnitPrice]]*amazon_store_sales_2022__1[[#This Row],[Quantity]]</f>
        <v>1661.52</v>
      </c>
      <c r="K494">
        <f>amazon_store_sales_2022__1[[#This Row],[Total ]]*amazon_store_sales_2022__1[[#This Row],[Discount]]</f>
        <v>498.45599999999996</v>
      </c>
      <c r="L494" s="13">
        <f>amazon_store_sales_2022__1[[#This Row],[Total ]]-amazon_store_sales_2022__1[[#This Row],[Total Discount]]</f>
        <v>1163.0640000000001</v>
      </c>
      <c r="M494">
        <f>YEAR(amazon_store_sales_2022__1[[#This Row],[OrderDate]])</f>
        <v>2023</v>
      </c>
      <c r="N494" t="str" cm="1">
        <f t="array" ref="N494">_xlfn.IFS(L494&lt;500," VeryLow",L494&lt;1000,"Low",L494&lt;2000,"Medium",L494&lt;3000,"High",L494&lt;5000,"VeryHigh")</f>
        <v>Medium</v>
      </c>
      <c r="O494" t="str" cm="1">
        <f t="array" ref="O494">_xlfn.IFS(G494&lt;0.09,"Low",G494&lt;0.2,"Medium",G494&lt;0.4,"High")</f>
        <v>High</v>
      </c>
    </row>
    <row r="495" spans="1:15" x14ac:dyDescent="0.3">
      <c r="A495">
        <v>10494</v>
      </c>
      <c r="B495" s="1">
        <v>45055</v>
      </c>
      <c r="C495">
        <v>2061</v>
      </c>
      <c r="D495" t="s">
        <v>16</v>
      </c>
      <c r="E495">
        <v>6</v>
      </c>
      <c r="F495">
        <v>214.23</v>
      </c>
      <c r="G495">
        <v>0.28999999999999998</v>
      </c>
      <c r="H495" t="s">
        <v>13</v>
      </c>
      <c r="I495" t="s">
        <v>18</v>
      </c>
      <c r="J495">
        <f>amazon_store_sales_2022__1[[#This Row],[UnitPrice]]*amazon_store_sales_2022__1[[#This Row],[Quantity]]</f>
        <v>1285.3799999999999</v>
      </c>
      <c r="K495">
        <f>amazon_store_sales_2022__1[[#This Row],[Total ]]*amazon_store_sales_2022__1[[#This Row],[Discount]]</f>
        <v>372.76019999999994</v>
      </c>
      <c r="L495" s="13">
        <f>amazon_store_sales_2022__1[[#This Row],[Total ]]-amazon_store_sales_2022__1[[#This Row],[Total Discount]]</f>
        <v>912.61979999999994</v>
      </c>
      <c r="M495">
        <f>YEAR(amazon_store_sales_2022__1[[#This Row],[OrderDate]])</f>
        <v>2023</v>
      </c>
      <c r="N495" t="str" cm="1">
        <f t="array" ref="N495">_xlfn.IFS(L495&lt;500," VeryLow",L495&lt;1000,"Low",L495&lt;2000,"Medium",L495&lt;3000,"High",L495&lt;5000,"VeryHigh")</f>
        <v>Low</v>
      </c>
      <c r="O495" t="str" cm="1">
        <f t="array" ref="O495">_xlfn.IFS(G495&lt;0.09,"Low",G495&lt;0.2,"Medium",G495&lt;0.4,"High")</f>
        <v>High</v>
      </c>
    </row>
    <row r="496" spans="1:15" x14ac:dyDescent="0.3">
      <c r="A496">
        <v>10495</v>
      </c>
      <c r="B496" s="1">
        <v>45056</v>
      </c>
      <c r="C496">
        <v>2064</v>
      </c>
      <c r="D496" t="s">
        <v>12</v>
      </c>
      <c r="E496">
        <v>8</v>
      </c>
      <c r="F496">
        <v>411.79</v>
      </c>
      <c r="G496">
        <v>0.2</v>
      </c>
      <c r="H496" t="s">
        <v>10</v>
      </c>
      <c r="I496" t="s">
        <v>18</v>
      </c>
      <c r="J496">
        <f>amazon_store_sales_2022__1[[#This Row],[UnitPrice]]*amazon_store_sales_2022__1[[#This Row],[Quantity]]</f>
        <v>3294.32</v>
      </c>
      <c r="K496">
        <f>amazon_store_sales_2022__1[[#This Row],[Total ]]*amazon_store_sales_2022__1[[#This Row],[Discount]]</f>
        <v>658.86400000000003</v>
      </c>
      <c r="L496" s="13">
        <f>amazon_store_sales_2022__1[[#This Row],[Total ]]-amazon_store_sales_2022__1[[#This Row],[Total Discount]]</f>
        <v>2635.4560000000001</v>
      </c>
      <c r="M496">
        <f>YEAR(amazon_store_sales_2022__1[[#This Row],[OrderDate]])</f>
        <v>2023</v>
      </c>
      <c r="N496" t="str" cm="1">
        <f t="array" ref="N496">_xlfn.IFS(L496&lt;500," VeryLow",L496&lt;1000,"Low",L496&lt;2000,"Medium",L496&lt;3000,"High",L496&lt;5000,"VeryHigh")</f>
        <v>High</v>
      </c>
      <c r="O496" t="str" cm="1">
        <f t="array" ref="O496">_xlfn.IFS(G496&lt;0.09,"Low",G496&lt;0.2,"Medium",G496&lt;0.4,"High")</f>
        <v>High</v>
      </c>
    </row>
    <row r="497" spans="1:15" x14ac:dyDescent="0.3">
      <c r="A497">
        <v>10496</v>
      </c>
      <c r="B497" s="1">
        <v>45057</v>
      </c>
      <c r="C497">
        <v>2063</v>
      </c>
      <c r="D497" t="s">
        <v>9</v>
      </c>
      <c r="E497">
        <v>5</v>
      </c>
      <c r="F497">
        <v>5.61</v>
      </c>
      <c r="G497">
        <v>0.04</v>
      </c>
      <c r="H497" t="s">
        <v>13</v>
      </c>
      <c r="I497" t="s">
        <v>18</v>
      </c>
      <c r="J497">
        <f>amazon_store_sales_2022__1[[#This Row],[UnitPrice]]*amazon_store_sales_2022__1[[#This Row],[Quantity]]</f>
        <v>28.05</v>
      </c>
      <c r="K497">
        <f>amazon_store_sales_2022__1[[#This Row],[Total ]]*amazon_store_sales_2022__1[[#This Row],[Discount]]</f>
        <v>1.1220000000000001</v>
      </c>
      <c r="L497" s="13">
        <f>amazon_store_sales_2022__1[[#This Row],[Total ]]-amazon_store_sales_2022__1[[#This Row],[Total Discount]]</f>
        <v>26.928000000000001</v>
      </c>
      <c r="M497">
        <f>YEAR(amazon_store_sales_2022__1[[#This Row],[OrderDate]])</f>
        <v>2023</v>
      </c>
      <c r="N497" t="str" cm="1">
        <f t="array" ref="N497">_xlfn.IFS(L497&lt;500," VeryLow",L497&lt;1000,"Low",L497&lt;2000,"Medium",L497&lt;3000,"High",L497&lt;5000,"VeryHigh")</f>
        <v xml:space="preserve"> VeryLow</v>
      </c>
      <c r="O497" t="str" cm="1">
        <f t="array" ref="O497">_xlfn.IFS(G497&lt;0.09,"Low",G497&lt;0.2,"Medium",G497&lt;0.4,"High")</f>
        <v>Low</v>
      </c>
    </row>
    <row r="498" spans="1:15" x14ac:dyDescent="0.3">
      <c r="A498">
        <v>10497</v>
      </c>
      <c r="B498" s="1">
        <v>45058</v>
      </c>
      <c r="C498">
        <v>2069</v>
      </c>
      <c r="D498" t="s">
        <v>19</v>
      </c>
      <c r="E498">
        <v>2</v>
      </c>
      <c r="F498">
        <v>153.91999999999999</v>
      </c>
      <c r="G498">
        <v>0.21</v>
      </c>
      <c r="H498" t="s">
        <v>15</v>
      </c>
      <c r="I498" t="s">
        <v>18</v>
      </c>
      <c r="J498">
        <f>amazon_store_sales_2022__1[[#This Row],[UnitPrice]]*amazon_store_sales_2022__1[[#This Row],[Quantity]]</f>
        <v>307.83999999999997</v>
      </c>
      <c r="K498">
        <f>amazon_store_sales_2022__1[[#This Row],[Total ]]*amazon_store_sales_2022__1[[#This Row],[Discount]]</f>
        <v>64.646399999999986</v>
      </c>
      <c r="L498" s="13">
        <f>amazon_store_sales_2022__1[[#This Row],[Total ]]-amazon_store_sales_2022__1[[#This Row],[Total Discount]]</f>
        <v>243.1936</v>
      </c>
      <c r="M498">
        <f>YEAR(amazon_store_sales_2022__1[[#This Row],[OrderDate]])</f>
        <v>2023</v>
      </c>
      <c r="N498" t="str" cm="1">
        <f t="array" ref="N498">_xlfn.IFS(L498&lt;500," VeryLow",L498&lt;1000,"Low",L498&lt;2000,"Medium",L498&lt;3000,"High",L498&lt;5000,"VeryHigh")</f>
        <v xml:space="preserve"> VeryLow</v>
      </c>
      <c r="O498" t="str" cm="1">
        <f t="array" ref="O498">_xlfn.IFS(G498&lt;0.09,"Low",G498&lt;0.2,"Medium",G498&lt;0.4,"High")</f>
        <v>High</v>
      </c>
    </row>
    <row r="499" spans="1:15" x14ac:dyDescent="0.3">
      <c r="A499">
        <v>10498</v>
      </c>
      <c r="B499" s="1">
        <v>45059</v>
      </c>
      <c r="C499">
        <v>2022</v>
      </c>
      <c r="D499" t="s">
        <v>16</v>
      </c>
      <c r="E499">
        <v>6</v>
      </c>
      <c r="F499">
        <v>490.71</v>
      </c>
      <c r="G499">
        <v>0.03</v>
      </c>
      <c r="H499" t="s">
        <v>10</v>
      </c>
      <c r="I499" t="s">
        <v>18</v>
      </c>
      <c r="J499">
        <f>amazon_store_sales_2022__1[[#This Row],[UnitPrice]]*amazon_store_sales_2022__1[[#This Row],[Quantity]]</f>
        <v>2944.2599999999998</v>
      </c>
      <c r="K499">
        <f>amazon_store_sales_2022__1[[#This Row],[Total ]]*amazon_store_sales_2022__1[[#This Row],[Discount]]</f>
        <v>88.327799999999996</v>
      </c>
      <c r="L499" s="13">
        <f>amazon_store_sales_2022__1[[#This Row],[Total ]]-amazon_store_sales_2022__1[[#This Row],[Total Discount]]</f>
        <v>2855.9321999999997</v>
      </c>
      <c r="M499">
        <f>YEAR(amazon_store_sales_2022__1[[#This Row],[OrderDate]])</f>
        <v>2023</v>
      </c>
      <c r="N499" t="str" cm="1">
        <f t="array" ref="N499">_xlfn.IFS(L499&lt;500," VeryLow",L499&lt;1000,"Low",L499&lt;2000,"Medium",L499&lt;3000,"High",L499&lt;5000,"VeryHigh")</f>
        <v>High</v>
      </c>
      <c r="O499" t="str" cm="1">
        <f t="array" ref="O499">_xlfn.IFS(G499&lt;0.09,"Low",G499&lt;0.2,"Medium",G499&lt;0.4,"High")</f>
        <v>Low</v>
      </c>
    </row>
    <row r="500" spans="1:15" x14ac:dyDescent="0.3">
      <c r="A500">
        <v>10499</v>
      </c>
      <c r="B500" s="1">
        <v>45060</v>
      </c>
      <c r="C500">
        <v>2093</v>
      </c>
      <c r="D500" t="s">
        <v>19</v>
      </c>
      <c r="E500">
        <v>5</v>
      </c>
      <c r="F500">
        <v>240.07</v>
      </c>
      <c r="G500">
        <v>0.01</v>
      </c>
      <c r="H500" t="s">
        <v>17</v>
      </c>
      <c r="I500" t="s">
        <v>11</v>
      </c>
      <c r="J500">
        <f>amazon_store_sales_2022__1[[#This Row],[UnitPrice]]*amazon_store_sales_2022__1[[#This Row],[Quantity]]</f>
        <v>1200.3499999999999</v>
      </c>
      <c r="K500">
        <f>amazon_store_sales_2022__1[[#This Row],[Total ]]*amazon_store_sales_2022__1[[#This Row],[Discount]]</f>
        <v>12.003499999999999</v>
      </c>
      <c r="L500" s="13">
        <f>amazon_store_sales_2022__1[[#This Row],[Total ]]-amazon_store_sales_2022__1[[#This Row],[Total Discount]]</f>
        <v>1188.3464999999999</v>
      </c>
      <c r="M500">
        <f>YEAR(amazon_store_sales_2022__1[[#This Row],[OrderDate]])</f>
        <v>2023</v>
      </c>
      <c r="N500" t="str" cm="1">
        <f t="array" ref="N500">_xlfn.IFS(L500&lt;500," VeryLow",L500&lt;1000,"Low",L500&lt;2000,"Medium",L500&lt;3000,"High",L500&lt;5000,"VeryHigh")</f>
        <v>Medium</v>
      </c>
      <c r="O500" t="str" cm="1">
        <f t="array" ref="O500">_xlfn.IFS(G500&lt;0.09,"Low",G500&lt;0.2,"Medium",G500&lt;0.4,"High")</f>
        <v>Low</v>
      </c>
    </row>
    <row r="501" spans="1:15" x14ac:dyDescent="0.3">
      <c r="A501">
        <v>10500</v>
      </c>
      <c r="B501" s="1">
        <v>45061</v>
      </c>
      <c r="C501">
        <v>2067</v>
      </c>
      <c r="D501" t="s">
        <v>19</v>
      </c>
      <c r="E501">
        <v>5</v>
      </c>
      <c r="F501">
        <v>194.35</v>
      </c>
      <c r="G501">
        <v>0.25</v>
      </c>
      <c r="H501" t="s">
        <v>13</v>
      </c>
      <c r="I501" t="s">
        <v>11</v>
      </c>
      <c r="J501">
        <f>amazon_store_sales_2022__1[[#This Row],[UnitPrice]]*amazon_store_sales_2022__1[[#This Row],[Quantity]]</f>
        <v>971.75</v>
      </c>
      <c r="K501">
        <f>amazon_store_sales_2022__1[[#This Row],[Total ]]*amazon_store_sales_2022__1[[#This Row],[Discount]]</f>
        <v>242.9375</v>
      </c>
      <c r="L501" s="13">
        <f>amazon_store_sales_2022__1[[#This Row],[Total ]]-amazon_store_sales_2022__1[[#This Row],[Total Discount]]</f>
        <v>728.8125</v>
      </c>
      <c r="M501">
        <f>YEAR(amazon_store_sales_2022__1[[#This Row],[OrderDate]])</f>
        <v>2023</v>
      </c>
      <c r="N501" t="str" cm="1">
        <f t="array" ref="N501">_xlfn.IFS(L501&lt;500," VeryLow",L501&lt;1000,"Low",L501&lt;2000,"Medium",L501&lt;3000,"High",L501&lt;5000,"VeryHigh")</f>
        <v>Low</v>
      </c>
      <c r="O501" t="str" cm="1">
        <f t="array" ref="O501">_xlfn.IFS(G501&lt;0.09,"Low",G501&lt;0.2,"Medium",G501&lt;0.4,"High")</f>
        <v>High</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CE00-8F2C-4FF6-9317-5C8E62C50B08}">
  <dimension ref="A1:O114"/>
  <sheetViews>
    <sheetView workbookViewId="0">
      <selection activeCell="A3" sqref="A3:O114"/>
    </sheetView>
  </sheetViews>
  <sheetFormatPr defaultRowHeight="14.4" x14ac:dyDescent="0.3"/>
  <cols>
    <col min="1" max="1" width="9.77734375" bestFit="1" customWidth="1"/>
    <col min="2" max="2" width="11.88671875" bestFit="1" customWidth="1"/>
    <col min="3" max="3" width="11.5546875" bestFit="1" customWidth="1"/>
    <col min="4" max="4" width="17.21875" bestFit="1" customWidth="1"/>
    <col min="5" max="5" width="10.33203125" bestFit="1" customWidth="1"/>
    <col min="6" max="6" width="11" bestFit="1" customWidth="1"/>
    <col min="7" max="7" width="10.5546875" bestFit="1" customWidth="1"/>
    <col min="8" max="8" width="9" bestFit="1" customWidth="1"/>
    <col min="9" max="9" width="14.5546875" bestFit="1" customWidth="1"/>
    <col min="10" max="10" width="9" bestFit="1" customWidth="1"/>
    <col min="11" max="11" width="15" bestFit="1" customWidth="1"/>
    <col min="12" max="12" width="12" bestFit="1" customWidth="1"/>
    <col min="13" max="13" width="9" bestFit="1" customWidth="1"/>
    <col min="14" max="14" width="13.109375" bestFit="1" customWidth="1"/>
    <col min="15" max="15" width="14.88671875" bestFit="1" customWidth="1"/>
  </cols>
  <sheetData>
    <row r="1" spans="1:15" x14ac:dyDescent="0.3">
      <c r="A1" s="34" t="s">
        <v>51</v>
      </c>
    </row>
    <row r="3" spans="1:15" x14ac:dyDescent="0.3">
      <c r="A3" t="s">
        <v>0</v>
      </c>
      <c r="B3" t="s">
        <v>1</v>
      </c>
      <c r="C3" t="s">
        <v>2</v>
      </c>
      <c r="D3" t="s">
        <v>3</v>
      </c>
      <c r="E3" t="s">
        <v>4</v>
      </c>
      <c r="F3" t="s">
        <v>5</v>
      </c>
      <c r="G3" t="s">
        <v>6</v>
      </c>
      <c r="H3" t="s">
        <v>7</v>
      </c>
      <c r="I3" t="s">
        <v>8</v>
      </c>
      <c r="J3" t="s">
        <v>22</v>
      </c>
      <c r="K3" t="s">
        <v>23</v>
      </c>
      <c r="L3" t="s">
        <v>21</v>
      </c>
      <c r="M3" t="s">
        <v>24</v>
      </c>
      <c r="N3" t="s">
        <v>25</v>
      </c>
      <c r="O3" t="s">
        <v>26</v>
      </c>
    </row>
    <row r="4" spans="1:15" x14ac:dyDescent="0.3">
      <c r="A4">
        <v>10498</v>
      </c>
      <c r="B4" s="1">
        <v>45059</v>
      </c>
      <c r="C4">
        <v>2022</v>
      </c>
      <c r="D4" t="s">
        <v>16</v>
      </c>
      <c r="E4">
        <v>6</v>
      </c>
      <c r="F4">
        <v>490.71</v>
      </c>
      <c r="G4">
        <v>0.03</v>
      </c>
      <c r="H4" t="s">
        <v>10</v>
      </c>
      <c r="I4" t="s">
        <v>18</v>
      </c>
      <c r="J4">
        <v>2944.2599999999998</v>
      </c>
      <c r="K4">
        <v>88.327799999999996</v>
      </c>
      <c r="L4">
        <v>2855.9321999999997</v>
      </c>
      <c r="M4">
        <v>2023</v>
      </c>
      <c r="N4" t="s">
        <v>46</v>
      </c>
      <c r="O4" t="s">
        <v>47</v>
      </c>
    </row>
    <row r="5" spans="1:15" x14ac:dyDescent="0.3">
      <c r="A5">
        <v>10494</v>
      </c>
      <c r="B5" s="1">
        <v>45055</v>
      </c>
      <c r="C5">
        <v>2061</v>
      </c>
      <c r="D5" t="s">
        <v>16</v>
      </c>
      <c r="E5">
        <v>6</v>
      </c>
      <c r="F5">
        <v>214.23</v>
      </c>
      <c r="G5">
        <v>0.28999999999999998</v>
      </c>
      <c r="H5" t="s">
        <v>13</v>
      </c>
      <c r="I5" t="s">
        <v>18</v>
      </c>
      <c r="J5">
        <v>1285.3799999999999</v>
      </c>
      <c r="K5">
        <v>372.76019999999994</v>
      </c>
      <c r="L5">
        <v>912.61979999999994</v>
      </c>
      <c r="M5">
        <v>2023</v>
      </c>
      <c r="N5" t="s">
        <v>47</v>
      </c>
      <c r="O5" t="s">
        <v>46</v>
      </c>
    </row>
    <row r="6" spans="1:15" x14ac:dyDescent="0.3">
      <c r="A6">
        <v>10490</v>
      </c>
      <c r="B6" s="1">
        <v>45051</v>
      </c>
      <c r="C6">
        <v>2048</v>
      </c>
      <c r="D6" t="s">
        <v>16</v>
      </c>
      <c r="E6">
        <v>9</v>
      </c>
      <c r="F6">
        <v>319.31</v>
      </c>
      <c r="G6">
        <v>0.04</v>
      </c>
      <c r="H6" t="s">
        <v>10</v>
      </c>
      <c r="I6" t="s">
        <v>18</v>
      </c>
      <c r="J6">
        <v>2873.79</v>
      </c>
      <c r="K6">
        <v>114.9516</v>
      </c>
      <c r="L6">
        <v>2758.8384000000001</v>
      </c>
      <c r="M6">
        <v>2023</v>
      </c>
      <c r="N6" t="s">
        <v>46</v>
      </c>
      <c r="O6" t="s">
        <v>47</v>
      </c>
    </row>
    <row r="7" spans="1:15" x14ac:dyDescent="0.3">
      <c r="A7">
        <v>10004</v>
      </c>
      <c r="B7" s="1">
        <v>44565</v>
      </c>
      <c r="C7">
        <v>2072</v>
      </c>
      <c r="D7" t="s">
        <v>16</v>
      </c>
      <c r="E7">
        <v>7</v>
      </c>
      <c r="F7">
        <v>260.45999999999998</v>
      </c>
      <c r="G7">
        <v>0.22</v>
      </c>
      <c r="H7" t="s">
        <v>17</v>
      </c>
      <c r="I7" t="s">
        <v>18</v>
      </c>
      <c r="J7">
        <v>1823.2199999999998</v>
      </c>
      <c r="K7">
        <v>401.10839999999996</v>
      </c>
      <c r="L7">
        <v>1422.1115999999997</v>
      </c>
      <c r="M7">
        <v>2022</v>
      </c>
      <c r="N7" t="s">
        <v>48</v>
      </c>
      <c r="O7" t="s">
        <v>46</v>
      </c>
    </row>
    <row r="8" spans="1:15" x14ac:dyDescent="0.3">
      <c r="A8">
        <v>10484</v>
      </c>
      <c r="B8" s="1">
        <v>45045</v>
      </c>
      <c r="C8">
        <v>2012</v>
      </c>
      <c r="D8" t="s">
        <v>16</v>
      </c>
      <c r="E8">
        <v>9</v>
      </c>
      <c r="F8">
        <v>497.76</v>
      </c>
      <c r="G8">
        <v>0.26</v>
      </c>
      <c r="H8" t="s">
        <v>15</v>
      </c>
      <c r="I8" t="s">
        <v>18</v>
      </c>
      <c r="J8">
        <v>4479.84</v>
      </c>
      <c r="K8">
        <v>1164.7584000000002</v>
      </c>
      <c r="L8">
        <v>3315.0816</v>
      </c>
      <c r="M8">
        <v>2023</v>
      </c>
      <c r="N8" t="s">
        <v>49</v>
      </c>
      <c r="O8" t="s">
        <v>46</v>
      </c>
    </row>
    <row r="9" spans="1:15" x14ac:dyDescent="0.3">
      <c r="A9">
        <v>10006</v>
      </c>
      <c r="B9" s="1">
        <v>44567</v>
      </c>
      <c r="C9">
        <v>2021</v>
      </c>
      <c r="D9" t="s">
        <v>16</v>
      </c>
      <c r="E9">
        <v>1</v>
      </c>
      <c r="F9">
        <v>287.8</v>
      </c>
      <c r="G9">
        <v>7.0000000000000007E-2</v>
      </c>
      <c r="H9" t="s">
        <v>15</v>
      </c>
      <c r="I9" t="s">
        <v>11</v>
      </c>
      <c r="J9">
        <v>287.8</v>
      </c>
      <c r="K9">
        <v>20.146000000000004</v>
      </c>
      <c r="L9">
        <v>267.654</v>
      </c>
      <c r="M9">
        <v>2022</v>
      </c>
      <c r="N9" t="s">
        <v>45</v>
      </c>
      <c r="O9" t="s">
        <v>47</v>
      </c>
    </row>
    <row r="10" spans="1:15" x14ac:dyDescent="0.3">
      <c r="A10">
        <v>10481</v>
      </c>
      <c r="B10" s="1">
        <v>45042</v>
      </c>
      <c r="C10">
        <v>2062</v>
      </c>
      <c r="D10" t="s">
        <v>16</v>
      </c>
      <c r="E10">
        <v>9</v>
      </c>
      <c r="F10">
        <v>30.91</v>
      </c>
      <c r="G10">
        <v>0.09</v>
      </c>
      <c r="H10" t="s">
        <v>17</v>
      </c>
      <c r="I10" t="s">
        <v>18</v>
      </c>
      <c r="J10">
        <v>278.19</v>
      </c>
      <c r="K10">
        <v>25.037099999999999</v>
      </c>
      <c r="L10">
        <v>253.15289999999999</v>
      </c>
      <c r="M10">
        <v>2023</v>
      </c>
      <c r="N10" t="s">
        <v>45</v>
      </c>
      <c r="O10" t="s">
        <v>48</v>
      </c>
    </row>
    <row r="11" spans="1:15" x14ac:dyDescent="0.3">
      <c r="A11">
        <v>10008</v>
      </c>
      <c r="B11" s="1">
        <v>44569</v>
      </c>
      <c r="C11">
        <v>2087</v>
      </c>
      <c r="D11" t="s">
        <v>16</v>
      </c>
      <c r="E11">
        <v>2</v>
      </c>
      <c r="F11">
        <v>274.17</v>
      </c>
      <c r="G11">
        <v>0.03</v>
      </c>
      <c r="H11" t="s">
        <v>13</v>
      </c>
      <c r="I11" t="s">
        <v>18</v>
      </c>
      <c r="J11">
        <v>548.34</v>
      </c>
      <c r="K11">
        <v>16.450199999999999</v>
      </c>
      <c r="L11">
        <v>531.88980000000004</v>
      </c>
      <c r="M11">
        <v>2022</v>
      </c>
      <c r="N11" t="s">
        <v>47</v>
      </c>
      <c r="O11" t="s">
        <v>47</v>
      </c>
    </row>
    <row r="12" spans="1:15" x14ac:dyDescent="0.3">
      <c r="A12">
        <v>10470</v>
      </c>
      <c r="B12" s="1">
        <v>45031</v>
      </c>
      <c r="C12">
        <v>2013</v>
      </c>
      <c r="D12" t="s">
        <v>16</v>
      </c>
      <c r="E12">
        <v>1</v>
      </c>
      <c r="F12">
        <v>223.99</v>
      </c>
      <c r="G12">
        <v>0.05</v>
      </c>
      <c r="H12" t="s">
        <v>13</v>
      </c>
      <c r="I12" t="s">
        <v>18</v>
      </c>
      <c r="J12">
        <v>223.99</v>
      </c>
      <c r="K12">
        <v>11.1995</v>
      </c>
      <c r="L12">
        <v>212.79050000000001</v>
      </c>
      <c r="M12">
        <v>2023</v>
      </c>
      <c r="N12" t="s">
        <v>45</v>
      </c>
      <c r="O12" t="s">
        <v>47</v>
      </c>
    </row>
    <row r="13" spans="1:15" x14ac:dyDescent="0.3">
      <c r="A13">
        <v>10468</v>
      </c>
      <c r="B13" s="1">
        <v>45029</v>
      </c>
      <c r="C13">
        <v>2052</v>
      </c>
      <c r="D13" t="s">
        <v>16</v>
      </c>
      <c r="E13">
        <v>2</v>
      </c>
      <c r="F13">
        <v>175.06</v>
      </c>
      <c r="G13">
        <v>0.13</v>
      </c>
      <c r="H13" t="s">
        <v>17</v>
      </c>
      <c r="I13" t="s">
        <v>18</v>
      </c>
      <c r="J13">
        <v>350.12</v>
      </c>
      <c r="K13">
        <v>45.515599999999999</v>
      </c>
      <c r="L13">
        <v>304.6044</v>
      </c>
      <c r="M13">
        <v>2023</v>
      </c>
      <c r="N13" t="s">
        <v>45</v>
      </c>
      <c r="O13" t="s">
        <v>48</v>
      </c>
    </row>
    <row r="14" spans="1:15" x14ac:dyDescent="0.3">
      <c r="A14">
        <v>10011</v>
      </c>
      <c r="B14" s="1">
        <v>44572</v>
      </c>
      <c r="C14">
        <v>2088</v>
      </c>
      <c r="D14" t="s">
        <v>16</v>
      </c>
      <c r="E14">
        <v>9</v>
      </c>
      <c r="F14">
        <v>263.02</v>
      </c>
      <c r="G14">
        <v>0.26</v>
      </c>
      <c r="H14" t="s">
        <v>17</v>
      </c>
      <c r="I14" t="s">
        <v>18</v>
      </c>
      <c r="J14">
        <v>2367.1799999999998</v>
      </c>
      <c r="K14">
        <v>615.46680000000003</v>
      </c>
      <c r="L14">
        <v>1751.7131999999997</v>
      </c>
      <c r="M14">
        <v>2022</v>
      </c>
      <c r="N14" t="s">
        <v>48</v>
      </c>
      <c r="O14" t="s">
        <v>46</v>
      </c>
    </row>
    <row r="15" spans="1:15" x14ac:dyDescent="0.3">
      <c r="A15">
        <v>10454</v>
      </c>
      <c r="B15" s="1">
        <v>45015</v>
      </c>
      <c r="C15">
        <v>2060</v>
      </c>
      <c r="D15" t="s">
        <v>16</v>
      </c>
      <c r="E15">
        <v>1</v>
      </c>
      <c r="F15">
        <v>225.67</v>
      </c>
      <c r="G15">
        <v>0.12</v>
      </c>
      <c r="H15" t="s">
        <v>17</v>
      </c>
      <c r="I15" t="s">
        <v>11</v>
      </c>
      <c r="J15">
        <v>225.67</v>
      </c>
      <c r="K15">
        <v>27.080399999999997</v>
      </c>
      <c r="L15">
        <v>198.58959999999999</v>
      </c>
      <c r="M15">
        <v>2023</v>
      </c>
      <c r="N15" t="s">
        <v>45</v>
      </c>
      <c r="O15" t="s">
        <v>48</v>
      </c>
    </row>
    <row r="16" spans="1:15" x14ac:dyDescent="0.3">
      <c r="A16">
        <v>10448</v>
      </c>
      <c r="B16" s="1">
        <v>45009</v>
      </c>
      <c r="C16">
        <v>2049</v>
      </c>
      <c r="D16" t="s">
        <v>16</v>
      </c>
      <c r="E16">
        <v>6</v>
      </c>
      <c r="F16">
        <v>33.94</v>
      </c>
      <c r="G16">
        <v>0.1</v>
      </c>
      <c r="H16" t="s">
        <v>13</v>
      </c>
      <c r="I16" t="s">
        <v>11</v>
      </c>
      <c r="J16">
        <v>203.64</v>
      </c>
      <c r="K16">
        <v>20.364000000000001</v>
      </c>
      <c r="L16">
        <v>183.27599999999998</v>
      </c>
      <c r="M16">
        <v>2023</v>
      </c>
      <c r="N16" t="s">
        <v>45</v>
      </c>
      <c r="O16" t="s">
        <v>48</v>
      </c>
    </row>
    <row r="17" spans="1:15" x14ac:dyDescent="0.3">
      <c r="A17">
        <v>10447</v>
      </c>
      <c r="B17" s="1">
        <v>45008</v>
      </c>
      <c r="C17">
        <v>2086</v>
      </c>
      <c r="D17" t="s">
        <v>16</v>
      </c>
      <c r="E17">
        <v>4</v>
      </c>
      <c r="F17">
        <v>317.85000000000002</v>
      </c>
      <c r="G17">
        <v>0.03</v>
      </c>
      <c r="H17" t="s">
        <v>20</v>
      </c>
      <c r="I17" t="s">
        <v>11</v>
      </c>
      <c r="J17">
        <v>1271.4000000000001</v>
      </c>
      <c r="K17">
        <v>38.142000000000003</v>
      </c>
      <c r="L17">
        <v>1233.258</v>
      </c>
      <c r="M17">
        <v>2023</v>
      </c>
      <c r="N17" t="s">
        <v>48</v>
      </c>
      <c r="O17" t="s">
        <v>47</v>
      </c>
    </row>
    <row r="18" spans="1:15" x14ac:dyDescent="0.3">
      <c r="A18">
        <v>10015</v>
      </c>
      <c r="B18" s="1">
        <v>44576</v>
      </c>
      <c r="C18">
        <v>2022</v>
      </c>
      <c r="D18" t="s">
        <v>16</v>
      </c>
      <c r="E18">
        <v>1</v>
      </c>
      <c r="F18">
        <v>84.4</v>
      </c>
      <c r="G18">
        <v>0.02</v>
      </c>
      <c r="H18" t="s">
        <v>20</v>
      </c>
      <c r="I18" t="s">
        <v>18</v>
      </c>
      <c r="J18">
        <v>84.4</v>
      </c>
      <c r="K18">
        <v>1.6880000000000002</v>
      </c>
      <c r="L18">
        <v>82.712000000000003</v>
      </c>
      <c r="M18">
        <v>2022</v>
      </c>
      <c r="N18" t="s">
        <v>45</v>
      </c>
      <c r="O18" t="s">
        <v>47</v>
      </c>
    </row>
    <row r="19" spans="1:15" x14ac:dyDescent="0.3">
      <c r="A19">
        <v>10444</v>
      </c>
      <c r="B19" s="1">
        <v>45005</v>
      </c>
      <c r="C19">
        <v>2022</v>
      </c>
      <c r="D19" t="s">
        <v>16</v>
      </c>
      <c r="E19">
        <v>4</v>
      </c>
      <c r="F19">
        <v>107.06</v>
      </c>
      <c r="G19">
        <v>0.23</v>
      </c>
      <c r="H19" t="s">
        <v>17</v>
      </c>
      <c r="I19" t="s">
        <v>18</v>
      </c>
      <c r="J19">
        <v>428.24</v>
      </c>
      <c r="K19">
        <v>98.495200000000011</v>
      </c>
      <c r="L19">
        <v>329.7448</v>
      </c>
      <c r="M19">
        <v>2023</v>
      </c>
      <c r="N19" t="s">
        <v>45</v>
      </c>
      <c r="O19" t="s">
        <v>46</v>
      </c>
    </row>
    <row r="20" spans="1:15" x14ac:dyDescent="0.3">
      <c r="A20">
        <v>10443</v>
      </c>
      <c r="B20" s="1">
        <v>45004</v>
      </c>
      <c r="C20">
        <v>2062</v>
      </c>
      <c r="D20" t="s">
        <v>16</v>
      </c>
      <c r="E20">
        <v>7</v>
      </c>
      <c r="F20">
        <v>118.97</v>
      </c>
      <c r="G20">
        <v>0.17</v>
      </c>
      <c r="H20" t="s">
        <v>17</v>
      </c>
      <c r="I20" t="s">
        <v>11</v>
      </c>
      <c r="J20">
        <v>832.79</v>
      </c>
      <c r="K20">
        <v>141.57429999999999</v>
      </c>
      <c r="L20">
        <v>691.21569999999997</v>
      </c>
      <c r="M20">
        <v>2023</v>
      </c>
      <c r="N20" t="s">
        <v>47</v>
      </c>
      <c r="O20" t="s">
        <v>48</v>
      </c>
    </row>
    <row r="21" spans="1:15" x14ac:dyDescent="0.3">
      <c r="A21">
        <v>10018</v>
      </c>
      <c r="B21" s="1">
        <v>44579</v>
      </c>
      <c r="C21">
        <v>2088</v>
      </c>
      <c r="D21" t="s">
        <v>16</v>
      </c>
      <c r="E21">
        <v>8</v>
      </c>
      <c r="F21">
        <v>465.39</v>
      </c>
      <c r="G21">
        <v>0.1</v>
      </c>
      <c r="H21" t="s">
        <v>15</v>
      </c>
      <c r="I21" t="s">
        <v>18</v>
      </c>
      <c r="J21">
        <v>3723.12</v>
      </c>
      <c r="K21">
        <v>372.31200000000001</v>
      </c>
      <c r="L21">
        <v>3350.808</v>
      </c>
      <c r="M21">
        <v>2022</v>
      </c>
      <c r="N21" t="s">
        <v>49</v>
      </c>
      <c r="O21" t="s">
        <v>48</v>
      </c>
    </row>
    <row r="22" spans="1:15" x14ac:dyDescent="0.3">
      <c r="A22">
        <v>10437</v>
      </c>
      <c r="B22" s="1">
        <v>44998</v>
      </c>
      <c r="C22">
        <v>2063</v>
      </c>
      <c r="D22" t="s">
        <v>16</v>
      </c>
      <c r="E22">
        <v>6</v>
      </c>
      <c r="F22">
        <v>121.44</v>
      </c>
      <c r="G22">
        <v>0.01</v>
      </c>
      <c r="H22" t="s">
        <v>17</v>
      </c>
      <c r="I22" t="s">
        <v>11</v>
      </c>
      <c r="J22">
        <v>728.64</v>
      </c>
      <c r="K22">
        <v>7.2864000000000004</v>
      </c>
      <c r="L22">
        <v>721.35360000000003</v>
      </c>
      <c r="M22">
        <v>2023</v>
      </c>
      <c r="N22" t="s">
        <v>47</v>
      </c>
      <c r="O22" t="s">
        <v>47</v>
      </c>
    </row>
    <row r="23" spans="1:15" x14ac:dyDescent="0.3">
      <c r="A23">
        <v>10428</v>
      </c>
      <c r="B23" s="1">
        <v>44989</v>
      </c>
      <c r="C23">
        <v>2014</v>
      </c>
      <c r="D23" t="s">
        <v>16</v>
      </c>
      <c r="E23">
        <v>1</v>
      </c>
      <c r="F23">
        <v>154.52000000000001</v>
      </c>
      <c r="G23">
        <v>0.11</v>
      </c>
      <c r="H23" t="s">
        <v>15</v>
      </c>
      <c r="I23" t="s">
        <v>18</v>
      </c>
      <c r="J23">
        <v>154.52000000000001</v>
      </c>
      <c r="K23">
        <v>16.997200000000003</v>
      </c>
      <c r="L23">
        <v>137.52280000000002</v>
      </c>
      <c r="M23">
        <v>2023</v>
      </c>
      <c r="N23" t="s">
        <v>45</v>
      </c>
      <c r="O23" t="s">
        <v>48</v>
      </c>
    </row>
    <row r="24" spans="1:15" x14ac:dyDescent="0.3">
      <c r="A24">
        <v>10021</v>
      </c>
      <c r="B24" s="1">
        <v>44582</v>
      </c>
      <c r="C24">
        <v>2002</v>
      </c>
      <c r="D24" t="s">
        <v>16</v>
      </c>
      <c r="E24">
        <v>3</v>
      </c>
      <c r="F24">
        <v>98.66</v>
      </c>
      <c r="G24">
        <v>7.0000000000000007E-2</v>
      </c>
      <c r="H24" t="s">
        <v>20</v>
      </c>
      <c r="I24" t="s">
        <v>11</v>
      </c>
      <c r="J24">
        <v>295.98</v>
      </c>
      <c r="K24">
        <v>20.718600000000002</v>
      </c>
      <c r="L24">
        <v>275.26140000000004</v>
      </c>
      <c r="M24">
        <v>2022</v>
      </c>
      <c r="N24" t="s">
        <v>45</v>
      </c>
      <c r="O24" t="s">
        <v>47</v>
      </c>
    </row>
    <row r="25" spans="1:15" x14ac:dyDescent="0.3">
      <c r="A25">
        <v>10421</v>
      </c>
      <c r="B25" s="1">
        <v>44982</v>
      </c>
      <c r="C25">
        <v>2057</v>
      </c>
      <c r="D25" t="s">
        <v>16</v>
      </c>
      <c r="E25">
        <v>3</v>
      </c>
      <c r="F25">
        <v>325.07</v>
      </c>
      <c r="G25">
        <v>0.03</v>
      </c>
      <c r="H25" t="s">
        <v>20</v>
      </c>
      <c r="I25" t="s">
        <v>18</v>
      </c>
      <c r="J25">
        <v>975.21</v>
      </c>
      <c r="K25">
        <v>29.2563</v>
      </c>
      <c r="L25">
        <v>945.95370000000003</v>
      </c>
      <c r="M25">
        <v>2023</v>
      </c>
      <c r="N25" t="s">
        <v>47</v>
      </c>
      <c r="O25" t="s">
        <v>47</v>
      </c>
    </row>
    <row r="26" spans="1:15" x14ac:dyDescent="0.3">
      <c r="A26">
        <v>10412</v>
      </c>
      <c r="B26" s="1">
        <v>44973</v>
      </c>
      <c r="C26">
        <v>2042</v>
      </c>
      <c r="D26" t="s">
        <v>16</v>
      </c>
      <c r="E26">
        <v>9</v>
      </c>
      <c r="F26">
        <v>408.8</v>
      </c>
      <c r="G26">
        <v>0.24</v>
      </c>
      <c r="H26" t="s">
        <v>13</v>
      </c>
      <c r="I26" t="s">
        <v>18</v>
      </c>
      <c r="J26">
        <v>3679.2000000000003</v>
      </c>
      <c r="K26">
        <v>883.00800000000004</v>
      </c>
      <c r="L26">
        <v>2796.192</v>
      </c>
      <c r="M26">
        <v>2023</v>
      </c>
      <c r="N26" t="s">
        <v>46</v>
      </c>
      <c r="O26" t="s">
        <v>46</v>
      </c>
    </row>
    <row r="27" spans="1:15" x14ac:dyDescent="0.3">
      <c r="A27">
        <v>10406</v>
      </c>
      <c r="B27" s="1">
        <v>44967</v>
      </c>
      <c r="C27">
        <v>2033</v>
      </c>
      <c r="D27" t="s">
        <v>16</v>
      </c>
      <c r="E27">
        <v>2</v>
      </c>
      <c r="F27">
        <v>151.16</v>
      </c>
      <c r="G27">
        <v>0.21</v>
      </c>
      <c r="H27" t="s">
        <v>10</v>
      </c>
      <c r="I27" t="s">
        <v>11</v>
      </c>
      <c r="J27">
        <v>302.32</v>
      </c>
      <c r="K27">
        <v>63.487199999999994</v>
      </c>
      <c r="L27">
        <v>238.83279999999999</v>
      </c>
      <c r="M27">
        <v>2023</v>
      </c>
      <c r="N27" t="s">
        <v>45</v>
      </c>
      <c r="O27" t="s">
        <v>46</v>
      </c>
    </row>
    <row r="28" spans="1:15" x14ac:dyDescent="0.3">
      <c r="A28">
        <v>10399</v>
      </c>
      <c r="B28" s="1">
        <v>44960</v>
      </c>
      <c r="C28">
        <v>2086</v>
      </c>
      <c r="D28" t="s">
        <v>16</v>
      </c>
      <c r="E28">
        <v>2</v>
      </c>
      <c r="F28">
        <v>488.48</v>
      </c>
      <c r="G28">
        <v>0.28000000000000003</v>
      </c>
      <c r="H28" t="s">
        <v>13</v>
      </c>
      <c r="I28" t="s">
        <v>11</v>
      </c>
      <c r="J28">
        <v>976.96</v>
      </c>
      <c r="K28">
        <v>273.54880000000003</v>
      </c>
      <c r="L28">
        <v>703.41120000000001</v>
      </c>
      <c r="M28">
        <v>2023</v>
      </c>
      <c r="N28" t="s">
        <v>47</v>
      </c>
      <c r="O28" t="s">
        <v>46</v>
      </c>
    </row>
    <row r="29" spans="1:15" x14ac:dyDescent="0.3">
      <c r="A29">
        <v>10394</v>
      </c>
      <c r="B29" s="1">
        <v>44955</v>
      </c>
      <c r="C29">
        <v>2067</v>
      </c>
      <c r="D29" t="s">
        <v>16</v>
      </c>
      <c r="E29">
        <v>8</v>
      </c>
      <c r="F29">
        <v>268.47000000000003</v>
      </c>
      <c r="G29">
        <v>0.04</v>
      </c>
      <c r="H29" t="s">
        <v>20</v>
      </c>
      <c r="I29" t="s">
        <v>18</v>
      </c>
      <c r="J29">
        <v>2147.7600000000002</v>
      </c>
      <c r="K29">
        <v>85.91040000000001</v>
      </c>
      <c r="L29">
        <v>2061.8496</v>
      </c>
      <c r="M29">
        <v>2023</v>
      </c>
      <c r="N29" t="s">
        <v>46</v>
      </c>
      <c r="O29" t="s">
        <v>47</v>
      </c>
    </row>
    <row r="30" spans="1:15" x14ac:dyDescent="0.3">
      <c r="A30">
        <v>10387</v>
      </c>
      <c r="B30" s="1">
        <v>44948</v>
      </c>
      <c r="C30">
        <v>2033</v>
      </c>
      <c r="D30" t="s">
        <v>16</v>
      </c>
      <c r="E30">
        <v>2</v>
      </c>
      <c r="F30">
        <v>242.2</v>
      </c>
      <c r="G30">
        <v>0.26</v>
      </c>
      <c r="H30" t="s">
        <v>10</v>
      </c>
      <c r="I30" t="s">
        <v>11</v>
      </c>
      <c r="J30">
        <v>484.4</v>
      </c>
      <c r="K30">
        <v>125.944</v>
      </c>
      <c r="L30">
        <v>358.45599999999996</v>
      </c>
      <c r="M30">
        <v>2023</v>
      </c>
      <c r="N30" t="s">
        <v>45</v>
      </c>
      <c r="O30" t="s">
        <v>46</v>
      </c>
    </row>
    <row r="31" spans="1:15" x14ac:dyDescent="0.3">
      <c r="A31">
        <v>10380</v>
      </c>
      <c r="B31" s="1">
        <v>44941</v>
      </c>
      <c r="C31">
        <v>2099</v>
      </c>
      <c r="D31" t="s">
        <v>16</v>
      </c>
      <c r="E31">
        <v>7</v>
      </c>
      <c r="F31">
        <v>218.28</v>
      </c>
      <c r="G31">
        <v>0.09</v>
      </c>
      <c r="H31" t="s">
        <v>10</v>
      </c>
      <c r="I31" t="s">
        <v>18</v>
      </c>
      <c r="J31">
        <v>1527.96</v>
      </c>
      <c r="K31">
        <v>137.5164</v>
      </c>
      <c r="L31">
        <v>1390.4436000000001</v>
      </c>
      <c r="M31">
        <v>2023</v>
      </c>
      <c r="N31" t="s">
        <v>48</v>
      </c>
      <c r="O31" t="s">
        <v>48</v>
      </c>
    </row>
    <row r="32" spans="1:15" x14ac:dyDescent="0.3">
      <c r="A32">
        <v>10373</v>
      </c>
      <c r="B32" s="1">
        <v>44934</v>
      </c>
      <c r="C32">
        <v>2099</v>
      </c>
      <c r="D32" t="s">
        <v>16</v>
      </c>
      <c r="E32">
        <v>9</v>
      </c>
      <c r="F32">
        <v>240.96</v>
      </c>
      <c r="G32">
        <v>0.08</v>
      </c>
      <c r="H32" t="s">
        <v>17</v>
      </c>
      <c r="I32" t="s">
        <v>18</v>
      </c>
      <c r="J32">
        <v>2168.64</v>
      </c>
      <c r="K32">
        <v>173.49119999999999</v>
      </c>
      <c r="L32">
        <v>1995.1487999999999</v>
      </c>
      <c r="M32">
        <v>2023</v>
      </c>
      <c r="N32" t="s">
        <v>48</v>
      </c>
      <c r="O32" t="s">
        <v>47</v>
      </c>
    </row>
    <row r="33" spans="1:15" x14ac:dyDescent="0.3">
      <c r="A33">
        <v>10030</v>
      </c>
      <c r="B33" s="1">
        <v>44591</v>
      </c>
      <c r="C33">
        <v>2049</v>
      </c>
      <c r="D33" t="s">
        <v>16</v>
      </c>
      <c r="E33">
        <v>8</v>
      </c>
      <c r="F33">
        <v>5.55</v>
      </c>
      <c r="G33">
        <v>0.17</v>
      </c>
      <c r="H33" t="s">
        <v>10</v>
      </c>
      <c r="I33" t="s">
        <v>11</v>
      </c>
      <c r="J33">
        <v>44.4</v>
      </c>
      <c r="K33">
        <v>7.548</v>
      </c>
      <c r="L33">
        <v>36.851999999999997</v>
      </c>
      <c r="M33">
        <v>2022</v>
      </c>
      <c r="N33" t="s">
        <v>45</v>
      </c>
      <c r="O33" t="s">
        <v>48</v>
      </c>
    </row>
    <row r="34" spans="1:15" x14ac:dyDescent="0.3">
      <c r="A34">
        <v>10031</v>
      </c>
      <c r="B34" s="1">
        <v>44592</v>
      </c>
      <c r="C34">
        <v>2091</v>
      </c>
      <c r="D34" t="s">
        <v>16</v>
      </c>
      <c r="E34">
        <v>8</v>
      </c>
      <c r="F34">
        <v>280.31</v>
      </c>
      <c r="G34">
        <v>0.12</v>
      </c>
      <c r="H34" t="s">
        <v>15</v>
      </c>
      <c r="I34" t="s">
        <v>11</v>
      </c>
      <c r="J34">
        <v>2242.48</v>
      </c>
      <c r="K34">
        <v>269.0976</v>
      </c>
      <c r="L34">
        <v>1973.3824</v>
      </c>
      <c r="M34">
        <v>2022</v>
      </c>
      <c r="N34" t="s">
        <v>48</v>
      </c>
      <c r="O34" t="s">
        <v>48</v>
      </c>
    </row>
    <row r="35" spans="1:15" x14ac:dyDescent="0.3">
      <c r="A35">
        <v>10371</v>
      </c>
      <c r="B35" s="1">
        <v>44932</v>
      </c>
      <c r="C35">
        <v>2046</v>
      </c>
      <c r="D35" t="s">
        <v>16</v>
      </c>
      <c r="E35">
        <v>5</v>
      </c>
      <c r="F35">
        <v>265.68</v>
      </c>
      <c r="G35">
        <v>0.13</v>
      </c>
      <c r="H35" t="s">
        <v>15</v>
      </c>
      <c r="I35" t="s">
        <v>18</v>
      </c>
      <c r="J35">
        <v>1328.4</v>
      </c>
      <c r="K35">
        <v>172.69200000000001</v>
      </c>
      <c r="L35">
        <v>1155.7080000000001</v>
      </c>
      <c r="M35">
        <v>2023</v>
      </c>
      <c r="N35" t="s">
        <v>48</v>
      </c>
      <c r="O35" t="s">
        <v>48</v>
      </c>
    </row>
    <row r="36" spans="1:15" x14ac:dyDescent="0.3">
      <c r="A36">
        <v>10370</v>
      </c>
      <c r="B36" s="1">
        <v>44931</v>
      </c>
      <c r="C36">
        <v>2093</v>
      </c>
      <c r="D36" t="s">
        <v>16</v>
      </c>
      <c r="E36">
        <v>7</v>
      </c>
      <c r="F36">
        <v>78.75</v>
      </c>
      <c r="G36">
        <v>0.11</v>
      </c>
      <c r="H36" t="s">
        <v>15</v>
      </c>
      <c r="I36" t="s">
        <v>18</v>
      </c>
      <c r="J36">
        <v>551.25</v>
      </c>
      <c r="K36">
        <v>60.637500000000003</v>
      </c>
      <c r="L36">
        <v>490.61250000000001</v>
      </c>
      <c r="M36">
        <v>2023</v>
      </c>
      <c r="N36" t="s">
        <v>45</v>
      </c>
      <c r="O36" t="s">
        <v>48</v>
      </c>
    </row>
    <row r="37" spans="1:15" x14ac:dyDescent="0.3">
      <c r="A37">
        <v>10366</v>
      </c>
      <c r="B37" s="1">
        <v>44927</v>
      </c>
      <c r="C37">
        <v>2017</v>
      </c>
      <c r="D37" t="s">
        <v>16</v>
      </c>
      <c r="E37">
        <v>1</v>
      </c>
      <c r="F37">
        <v>424.35</v>
      </c>
      <c r="G37">
        <v>0.08</v>
      </c>
      <c r="H37" t="s">
        <v>10</v>
      </c>
      <c r="I37" t="s">
        <v>18</v>
      </c>
      <c r="J37">
        <v>424.35</v>
      </c>
      <c r="K37">
        <v>33.948</v>
      </c>
      <c r="L37">
        <v>390.40200000000004</v>
      </c>
      <c r="M37">
        <v>2023</v>
      </c>
      <c r="N37" t="s">
        <v>45</v>
      </c>
      <c r="O37" t="s">
        <v>47</v>
      </c>
    </row>
    <row r="38" spans="1:15" x14ac:dyDescent="0.3">
      <c r="A38">
        <v>10365</v>
      </c>
      <c r="B38" s="1">
        <v>44926</v>
      </c>
      <c r="C38">
        <v>2049</v>
      </c>
      <c r="D38" t="s">
        <v>16</v>
      </c>
      <c r="E38">
        <v>7</v>
      </c>
      <c r="F38">
        <v>475.98</v>
      </c>
      <c r="G38">
        <v>0.01</v>
      </c>
      <c r="H38" t="s">
        <v>10</v>
      </c>
      <c r="I38" t="s">
        <v>11</v>
      </c>
      <c r="J38">
        <v>3331.86</v>
      </c>
      <c r="K38">
        <v>33.318600000000004</v>
      </c>
      <c r="L38">
        <v>3298.5414000000001</v>
      </c>
      <c r="M38">
        <v>2022</v>
      </c>
      <c r="N38" t="s">
        <v>49</v>
      </c>
      <c r="O38" t="s">
        <v>47</v>
      </c>
    </row>
    <row r="39" spans="1:15" x14ac:dyDescent="0.3">
      <c r="A39">
        <v>10361</v>
      </c>
      <c r="B39" s="1">
        <v>44922</v>
      </c>
      <c r="C39">
        <v>2019</v>
      </c>
      <c r="D39" t="s">
        <v>16</v>
      </c>
      <c r="E39">
        <v>9</v>
      </c>
      <c r="F39">
        <v>323.08</v>
      </c>
      <c r="G39">
        <v>0.14000000000000001</v>
      </c>
      <c r="H39" t="s">
        <v>15</v>
      </c>
      <c r="I39" t="s">
        <v>18</v>
      </c>
      <c r="J39">
        <v>2907.72</v>
      </c>
      <c r="K39">
        <v>407.08080000000001</v>
      </c>
      <c r="L39">
        <v>2500.6391999999996</v>
      </c>
      <c r="M39">
        <v>2022</v>
      </c>
      <c r="N39" t="s">
        <v>46</v>
      </c>
      <c r="O39" t="s">
        <v>48</v>
      </c>
    </row>
    <row r="40" spans="1:15" x14ac:dyDescent="0.3">
      <c r="A40">
        <v>10359</v>
      </c>
      <c r="B40" s="1">
        <v>44920</v>
      </c>
      <c r="C40">
        <v>2061</v>
      </c>
      <c r="D40" t="s">
        <v>16</v>
      </c>
      <c r="E40">
        <v>6</v>
      </c>
      <c r="F40">
        <v>295.60000000000002</v>
      </c>
      <c r="G40">
        <v>0.12</v>
      </c>
      <c r="H40" t="s">
        <v>10</v>
      </c>
      <c r="I40" t="s">
        <v>18</v>
      </c>
      <c r="J40">
        <v>1773.6000000000001</v>
      </c>
      <c r="K40">
        <v>212.83200000000002</v>
      </c>
      <c r="L40">
        <v>1560.768</v>
      </c>
      <c r="M40">
        <v>2022</v>
      </c>
      <c r="N40" t="s">
        <v>48</v>
      </c>
      <c r="O40" t="s">
        <v>48</v>
      </c>
    </row>
    <row r="41" spans="1:15" x14ac:dyDescent="0.3">
      <c r="A41">
        <v>10346</v>
      </c>
      <c r="B41" s="1">
        <v>44907</v>
      </c>
      <c r="C41">
        <v>2051</v>
      </c>
      <c r="D41" t="s">
        <v>16</v>
      </c>
      <c r="E41">
        <v>1</v>
      </c>
      <c r="F41">
        <v>190.96</v>
      </c>
      <c r="G41">
        <v>0.14000000000000001</v>
      </c>
      <c r="H41" t="s">
        <v>20</v>
      </c>
      <c r="I41" t="s">
        <v>18</v>
      </c>
      <c r="J41">
        <v>190.96</v>
      </c>
      <c r="K41">
        <v>26.734400000000004</v>
      </c>
      <c r="L41">
        <v>164.22560000000001</v>
      </c>
      <c r="M41">
        <v>2022</v>
      </c>
      <c r="N41" t="s">
        <v>45</v>
      </c>
      <c r="O41" t="s">
        <v>48</v>
      </c>
    </row>
    <row r="42" spans="1:15" x14ac:dyDescent="0.3">
      <c r="A42">
        <v>10344</v>
      </c>
      <c r="B42" s="1">
        <v>44905</v>
      </c>
      <c r="C42">
        <v>2030</v>
      </c>
      <c r="D42" t="s">
        <v>16</v>
      </c>
      <c r="E42">
        <v>3</v>
      </c>
      <c r="F42">
        <v>162.01</v>
      </c>
      <c r="G42">
        <v>0.11</v>
      </c>
      <c r="H42" t="s">
        <v>20</v>
      </c>
      <c r="I42" t="s">
        <v>18</v>
      </c>
      <c r="J42">
        <v>486.03</v>
      </c>
      <c r="K42">
        <v>53.463299999999997</v>
      </c>
      <c r="L42">
        <v>432.56669999999997</v>
      </c>
      <c r="M42">
        <v>2022</v>
      </c>
      <c r="N42" t="s">
        <v>45</v>
      </c>
      <c r="O42" t="s">
        <v>48</v>
      </c>
    </row>
    <row r="43" spans="1:15" x14ac:dyDescent="0.3">
      <c r="A43">
        <v>10342</v>
      </c>
      <c r="B43" s="1">
        <v>44903</v>
      </c>
      <c r="C43">
        <v>2086</v>
      </c>
      <c r="D43" t="s">
        <v>16</v>
      </c>
      <c r="E43">
        <v>6</v>
      </c>
      <c r="F43">
        <v>451.18</v>
      </c>
      <c r="G43">
        <v>0.26</v>
      </c>
      <c r="H43" t="s">
        <v>10</v>
      </c>
      <c r="I43" t="s">
        <v>11</v>
      </c>
      <c r="J43">
        <v>2707.08</v>
      </c>
      <c r="K43">
        <v>703.84080000000006</v>
      </c>
      <c r="L43">
        <v>2003.2392</v>
      </c>
      <c r="M43">
        <v>2022</v>
      </c>
      <c r="N43" t="s">
        <v>46</v>
      </c>
      <c r="O43" t="s">
        <v>46</v>
      </c>
    </row>
    <row r="44" spans="1:15" x14ac:dyDescent="0.3">
      <c r="A44">
        <v>10334</v>
      </c>
      <c r="B44" s="1">
        <v>44895</v>
      </c>
      <c r="C44">
        <v>2008</v>
      </c>
      <c r="D44" t="s">
        <v>16</v>
      </c>
      <c r="E44">
        <v>8</v>
      </c>
      <c r="F44">
        <v>377.45</v>
      </c>
      <c r="G44">
        <v>0.05</v>
      </c>
      <c r="H44" t="s">
        <v>17</v>
      </c>
      <c r="I44" t="s">
        <v>18</v>
      </c>
      <c r="J44">
        <v>3019.6</v>
      </c>
      <c r="K44">
        <v>150.97999999999999</v>
      </c>
      <c r="L44">
        <v>2868.62</v>
      </c>
      <c r="M44">
        <v>2022</v>
      </c>
      <c r="N44" t="s">
        <v>46</v>
      </c>
      <c r="O44" t="s">
        <v>47</v>
      </c>
    </row>
    <row r="45" spans="1:15" x14ac:dyDescent="0.3">
      <c r="A45">
        <v>10333</v>
      </c>
      <c r="B45" s="1">
        <v>44894</v>
      </c>
      <c r="C45">
        <v>2020</v>
      </c>
      <c r="D45" t="s">
        <v>16</v>
      </c>
      <c r="E45">
        <v>9</v>
      </c>
      <c r="F45">
        <v>496.7</v>
      </c>
      <c r="G45">
        <v>0.28999999999999998</v>
      </c>
      <c r="H45" t="s">
        <v>13</v>
      </c>
      <c r="I45" t="s">
        <v>18</v>
      </c>
      <c r="J45">
        <v>4470.3</v>
      </c>
      <c r="K45">
        <v>1296.3869999999999</v>
      </c>
      <c r="L45">
        <v>3173.9130000000005</v>
      </c>
      <c r="M45">
        <v>2022</v>
      </c>
      <c r="N45" t="s">
        <v>49</v>
      </c>
      <c r="O45" t="s">
        <v>46</v>
      </c>
    </row>
    <row r="46" spans="1:15" x14ac:dyDescent="0.3">
      <c r="A46">
        <v>10314</v>
      </c>
      <c r="B46" s="1">
        <v>44875</v>
      </c>
      <c r="C46">
        <v>2089</v>
      </c>
      <c r="D46" t="s">
        <v>16</v>
      </c>
      <c r="E46">
        <v>6</v>
      </c>
      <c r="F46">
        <v>190.28</v>
      </c>
      <c r="G46">
        <v>0.22</v>
      </c>
      <c r="H46" t="s">
        <v>15</v>
      </c>
      <c r="I46" t="s">
        <v>11</v>
      </c>
      <c r="J46">
        <v>1141.68</v>
      </c>
      <c r="K46">
        <v>251.1696</v>
      </c>
      <c r="L46">
        <v>890.51040000000012</v>
      </c>
      <c r="M46">
        <v>2022</v>
      </c>
      <c r="N46" t="s">
        <v>47</v>
      </c>
      <c r="O46" t="s">
        <v>46</v>
      </c>
    </row>
    <row r="47" spans="1:15" x14ac:dyDescent="0.3">
      <c r="A47">
        <v>10044</v>
      </c>
      <c r="B47" s="1">
        <v>44605</v>
      </c>
      <c r="C47">
        <v>2064</v>
      </c>
      <c r="D47" t="s">
        <v>16</v>
      </c>
      <c r="E47">
        <v>5</v>
      </c>
      <c r="F47">
        <v>14.12</v>
      </c>
      <c r="G47">
        <v>0.05</v>
      </c>
      <c r="H47" t="s">
        <v>20</v>
      </c>
      <c r="I47" t="s">
        <v>11</v>
      </c>
      <c r="J47">
        <v>70.599999999999994</v>
      </c>
      <c r="K47">
        <v>3.53</v>
      </c>
      <c r="L47">
        <v>67.069999999999993</v>
      </c>
      <c r="M47">
        <v>2022</v>
      </c>
      <c r="N47" t="s">
        <v>45</v>
      </c>
      <c r="O47" t="s">
        <v>47</v>
      </c>
    </row>
    <row r="48" spans="1:15" x14ac:dyDescent="0.3">
      <c r="A48">
        <v>10313</v>
      </c>
      <c r="B48" s="1">
        <v>44874</v>
      </c>
      <c r="C48">
        <v>2099</v>
      </c>
      <c r="D48" t="s">
        <v>16</v>
      </c>
      <c r="E48">
        <v>6</v>
      </c>
      <c r="F48">
        <v>489.42</v>
      </c>
      <c r="G48">
        <v>0.04</v>
      </c>
      <c r="H48" t="s">
        <v>17</v>
      </c>
      <c r="I48" t="s">
        <v>18</v>
      </c>
      <c r="J48">
        <v>2936.52</v>
      </c>
      <c r="K48">
        <v>117.46080000000001</v>
      </c>
      <c r="L48">
        <v>2819.0592000000001</v>
      </c>
      <c r="M48">
        <v>2022</v>
      </c>
      <c r="N48" t="s">
        <v>46</v>
      </c>
      <c r="O48" t="s">
        <v>47</v>
      </c>
    </row>
    <row r="49" spans="1:15" x14ac:dyDescent="0.3">
      <c r="A49">
        <v>10309</v>
      </c>
      <c r="B49" s="1">
        <v>44870</v>
      </c>
      <c r="C49">
        <v>2072</v>
      </c>
      <c r="D49" t="s">
        <v>16</v>
      </c>
      <c r="E49">
        <v>6</v>
      </c>
      <c r="F49">
        <v>121.11</v>
      </c>
      <c r="G49">
        <v>0.06</v>
      </c>
      <c r="H49" t="s">
        <v>10</v>
      </c>
      <c r="I49" t="s">
        <v>18</v>
      </c>
      <c r="J49">
        <v>726.66</v>
      </c>
      <c r="K49">
        <v>43.599599999999995</v>
      </c>
      <c r="L49">
        <v>683.06039999999996</v>
      </c>
      <c r="M49">
        <v>2022</v>
      </c>
      <c r="N49" t="s">
        <v>47</v>
      </c>
      <c r="O49" t="s">
        <v>47</v>
      </c>
    </row>
    <row r="50" spans="1:15" x14ac:dyDescent="0.3">
      <c r="A50">
        <v>10047</v>
      </c>
      <c r="B50" s="1">
        <v>44608</v>
      </c>
      <c r="C50">
        <v>2007</v>
      </c>
      <c r="D50" t="s">
        <v>16</v>
      </c>
      <c r="E50">
        <v>3</v>
      </c>
      <c r="F50">
        <v>199.11</v>
      </c>
      <c r="G50">
        <v>0.17</v>
      </c>
      <c r="H50" t="s">
        <v>15</v>
      </c>
      <c r="I50" t="s">
        <v>11</v>
      </c>
      <c r="J50">
        <v>597.33000000000004</v>
      </c>
      <c r="K50">
        <v>101.54610000000001</v>
      </c>
      <c r="L50">
        <v>495.78390000000002</v>
      </c>
      <c r="M50">
        <v>2022</v>
      </c>
      <c r="N50" t="s">
        <v>45</v>
      </c>
      <c r="O50" t="s">
        <v>48</v>
      </c>
    </row>
    <row r="51" spans="1:15" x14ac:dyDescent="0.3">
      <c r="A51">
        <v>10294</v>
      </c>
      <c r="B51" s="1">
        <v>44855</v>
      </c>
      <c r="C51">
        <v>2069</v>
      </c>
      <c r="D51" t="s">
        <v>16</v>
      </c>
      <c r="E51">
        <v>5</v>
      </c>
      <c r="F51">
        <v>486.68</v>
      </c>
      <c r="G51">
        <v>0.22</v>
      </c>
      <c r="H51" t="s">
        <v>15</v>
      </c>
      <c r="I51" t="s">
        <v>11</v>
      </c>
      <c r="J51">
        <v>2433.4</v>
      </c>
      <c r="K51">
        <v>535.34800000000007</v>
      </c>
      <c r="L51">
        <v>1898.0520000000001</v>
      </c>
      <c r="M51">
        <v>2022</v>
      </c>
      <c r="N51" t="s">
        <v>48</v>
      </c>
      <c r="O51" t="s">
        <v>46</v>
      </c>
    </row>
    <row r="52" spans="1:15" x14ac:dyDescent="0.3">
      <c r="A52">
        <v>10293</v>
      </c>
      <c r="B52" s="1">
        <v>44854</v>
      </c>
      <c r="C52">
        <v>2012</v>
      </c>
      <c r="D52" t="s">
        <v>16</v>
      </c>
      <c r="E52">
        <v>1</v>
      </c>
      <c r="F52">
        <v>164.95</v>
      </c>
      <c r="G52">
        <v>0.15</v>
      </c>
      <c r="H52" t="s">
        <v>15</v>
      </c>
      <c r="I52" t="s">
        <v>11</v>
      </c>
      <c r="J52">
        <v>164.95</v>
      </c>
      <c r="K52">
        <v>24.742499999999996</v>
      </c>
      <c r="L52">
        <v>140.20749999999998</v>
      </c>
      <c r="M52">
        <v>2022</v>
      </c>
      <c r="N52" t="s">
        <v>45</v>
      </c>
      <c r="O52" t="s">
        <v>48</v>
      </c>
    </row>
    <row r="53" spans="1:15" x14ac:dyDescent="0.3">
      <c r="A53">
        <v>10289</v>
      </c>
      <c r="B53" s="1">
        <v>44850</v>
      </c>
      <c r="C53">
        <v>2060</v>
      </c>
      <c r="D53" t="s">
        <v>16</v>
      </c>
      <c r="E53">
        <v>2</v>
      </c>
      <c r="F53">
        <v>201.7</v>
      </c>
      <c r="G53">
        <v>0.05</v>
      </c>
      <c r="H53" t="s">
        <v>13</v>
      </c>
      <c r="I53" t="s">
        <v>18</v>
      </c>
      <c r="J53">
        <v>403.4</v>
      </c>
      <c r="K53">
        <v>20.170000000000002</v>
      </c>
      <c r="L53">
        <v>383.22999999999996</v>
      </c>
      <c r="M53">
        <v>2022</v>
      </c>
      <c r="N53" t="s">
        <v>45</v>
      </c>
      <c r="O53" t="s">
        <v>47</v>
      </c>
    </row>
    <row r="54" spans="1:15" x14ac:dyDescent="0.3">
      <c r="A54">
        <v>10284</v>
      </c>
      <c r="B54" s="1">
        <v>44845</v>
      </c>
      <c r="C54">
        <v>2042</v>
      </c>
      <c r="D54" t="s">
        <v>16</v>
      </c>
      <c r="E54">
        <v>6</v>
      </c>
      <c r="F54">
        <v>94.11</v>
      </c>
      <c r="G54">
        <v>0.2</v>
      </c>
      <c r="H54" t="s">
        <v>17</v>
      </c>
      <c r="I54" t="s">
        <v>18</v>
      </c>
      <c r="J54">
        <v>564.66</v>
      </c>
      <c r="K54">
        <v>112.932</v>
      </c>
      <c r="L54">
        <v>451.72799999999995</v>
      </c>
      <c r="M54">
        <v>2022</v>
      </c>
      <c r="N54" t="s">
        <v>45</v>
      </c>
      <c r="O54" t="s">
        <v>46</v>
      </c>
    </row>
    <row r="55" spans="1:15" x14ac:dyDescent="0.3">
      <c r="A55">
        <v>10283</v>
      </c>
      <c r="B55" s="1">
        <v>44844</v>
      </c>
      <c r="C55">
        <v>2094</v>
      </c>
      <c r="D55" t="s">
        <v>16</v>
      </c>
      <c r="E55">
        <v>5</v>
      </c>
      <c r="F55">
        <v>116.23</v>
      </c>
      <c r="G55">
        <v>0.04</v>
      </c>
      <c r="H55" t="s">
        <v>10</v>
      </c>
      <c r="I55" t="s">
        <v>18</v>
      </c>
      <c r="J55">
        <v>581.15</v>
      </c>
      <c r="K55">
        <v>23.245999999999999</v>
      </c>
      <c r="L55">
        <v>557.904</v>
      </c>
      <c r="M55">
        <v>2022</v>
      </c>
      <c r="N55" t="s">
        <v>47</v>
      </c>
      <c r="O55" t="s">
        <v>47</v>
      </c>
    </row>
    <row r="56" spans="1:15" x14ac:dyDescent="0.3">
      <c r="A56">
        <v>10282</v>
      </c>
      <c r="B56" s="1">
        <v>44843</v>
      </c>
      <c r="C56">
        <v>2031</v>
      </c>
      <c r="D56" t="s">
        <v>16</v>
      </c>
      <c r="E56">
        <v>7</v>
      </c>
      <c r="F56">
        <v>321.8</v>
      </c>
      <c r="G56">
        <v>7.0000000000000007E-2</v>
      </c>
      <c r="H56" t="s">
        <v>15</v>
      </c>
      <c r="I56" t="s">
        <v>11</v>
      </c>
      <c r="J56">
        <v>2252.6</v>
      </c>
      <c r="K56">
        <v>157.68200000000002</v>
      </c>
      <c r="L56">
        <v>2094.9179999999997</v>
      </c>
      <c r="M56">
        <v>2022</v>
      </c>
      <c r="N56" t="s">
        <v>46</v>
      </c>
      <c r="O56" t="s">
        <v>47</v>
      </c>
    </row>
    <row r="57" spans="1:15" x14ac:dyDescent="0.3">
      <c r="A57">
        <v>10281</v>
      </c>
      <c r="B57" s="1">
        <v>44842</v>
      </c>
      <c r="C57">
        <v>2023</v>
      </c>
      <c r="D57" t="s">
        <v>16</v>
      </c>
      <c r="E57">
        <v>6</v>
      </c>
      <c r="F57">
        <v>30.59</v>
      </c>
      <c r="G57">
        <v>0.23</v>
      </c>
      <c r="H57" t="s">
        <v>10</v>
      </c>
      <c r="I57" t="s">
        <v>18</v>
      </c>
      <c r="J57">
        <v>183.54</v>
      </c>
      <c r="K57">
        <v>42.214199999999998</v>
      </c>
      <c r="L57">
        <v>141.32579999999999</v>
      </c>
      <c r="M57">
        <v>2022</v>
      </c>
      <c r="N57" t="s">
        <v>45</v>
      </c>
      <c r="O57" t="s">
        <v>46</v>
      </c>
    </row>
    <row r="58" spans="1:15" x14ac:dyDescent="0.3">
      <c r="A58">
        <v>10055</v>
      </c>
      <c r="B58" s="1">
        <v>44616</v>
      </c>
      <c r="C58">
        <v>2014</v>
      </c>
      <c r="D58" t="s">
        <v>16</v>
      </c>
      <c r="E58">
        <v>8</v>
      </c>
      <c r="F58">
        <v>386.64</v>
      </c>
      <c r="G58">
        <v>0.25</v>
      </c>
      <c r="H58" t="s">
        <v>17</v>
      </c>
      <c r="I58" t="s">
        <v>18</v>
      </c>
      <c r="J58">
        <v>3093.12</v>
      </c>
      <c r="K58">
        <v>773.28</v>
      </c>
      <c r="L58">
        <v>2319.84</v>
      </c>
      <c r="M58">
        <v>2022</v>
      </c>
      <c r="N58" t="s">
        <v>46</v>
      </c>
      <c r="O58" t="s">
        <v>46</v>
      </c>
    </row>
    <row r="59" spans="1:15" x14ac:dyDescent="0.3">
      <c r="A59">
        <v>10056</v>
      </c>
      <c r="B59" s="1">
        <v>44617</v>
      </c>
      <c r="C59">
        <v>2009</v>
      </c>
      <c r="D59" t="s">
        <v>16</v>
      </c>
      <c r="E59">
        <v>4</v>
      </c>
      <c r="F59">
        <v>355.74</v>
      </c>
      <c r="G59">
        <v>0.1</v>
      </c>
      <c r="H59" t="s">
        <v>17</v>
      </c>
      <c r="I59" t="s">
        <v>18</v>
      </c>
      <c r="J59">
        <v>1422.96</v>
      </c>
      <c r="K59">
        <v>142.29600000000002</v>
      </c>
      <c r="L59">
        <v>1280.664</v>
      </c>
      <c r="M59">
        <v>2022</v>
      </c>
      <c r="N59" t="s">
        <v>48</v>
      </c>
      <c r="O59" t="s">
        <v>48</v>
      </c>
    </row>
    <row r="60" spans="1:15" x14ac:dyDescent="0.3">
      <c r="A60">
        <v>10279</v>
      </c>
      <c r="B60" s="1">
        <v>44840</v>
      </c>
      <c r="C60">
        <v>2089</v>
      </c>
      <c r="D60" t="s">
        <v>16</v>
      </c>
      <c r="E60">
        <v>5</v>
      </c>
      <c r="F60">
        <v>65.87</v>
      </c>
      <c r="G60">
        <v>0.12</v>
      </c>
      <c r="H60" t="s">
        <v>10</v>
      </c>
      <c r="I60" t="s">
        <v>11</v>
      </c>
      <c r="J60">
        <v>329.35</v>
      </c>
      <c r="K60">
        <v>39.521999999999998</v>
      </c>
      <c r="L60">
        <v>289.82800000000003</v>
      </c>
      <c r="M60">
        <v>2022</v>
      </c>
      <c r="N60" t="s">
        <v>45</v>
      </c>
      <c r="O60" t="s">
        <v>48</v>
      </c>
    </row>
    <row r="61" spans="1:15" x14ac:dyDescent="0.3">
      <c r="A61">
        <v>10278</v>
      </c>
      <c r="B61" s="1">
        <v>44839</v>
      </c>
      <c r="C61">
        <v>2057</v>
      </c>
      <c r="D61" t="s">
        <v>16</v>
      </c>
      <c r="E61">
        <v>1</v>
      </c>
      <c r="F61">
        <v>493.41</v>
      </c>
      <c r="G61">
        <v>0.04</v>
      </c>
      <c r="H61" t="s">
        <v>20</v>
      </c>
      <c r="I61" t="s">
        <v>18</v>
      </c>
      <c r="J61">
        <v>493.41</v>
      </c>
      <c r="K61">
        <v>19.7364</v>
      </c>
      <c r="L61">
        <v>473.67360000000002</v>
      </c>
      <c r="M61">
        <v>2022</v>
      </c>
      <c r="N61" t="s">
        <v>45</v>
      </c>
      <c r="O61" t="s">
        <v>47</v>
      </c>
    </row>
    <row r="62" spans="1:15" x14ac:dyDescent="0.3">
      <c r="A62">
        <v>10059</v>
      </c>
      <c r="B62" s="1">
        <v>44620</v>
      </c>
      <c r="C62">
        <v>2002</v>
      </c>
      <c r="D62" t="s">
        <v>16</v>
      </c>
      <c r="E62">
        <v>7</v>
      </c>
      <c r="F62">
        <v>41.97</v>
      </c>
      <c r="G62">
        <v>0.2</v>
      </c>
      <c r="H62" t="s">
        <v>13</v>
      </c>
      <c r="I62" t="s">
        <v>18</v>
      </c>
      <c r="J62">
        <v>293.78999999999996</v>
      </c>
      <c r="K62">
        <v>58.757999999999996</v>
      </c>
      <c r="L62">
        <v>235.03199999999998</v>
      </c>
      <c r="M62">
        <v>2022</v>
      </c>
      <c r="N62" t="s">
        <v>45</v>
      </c>
      <c r="O62" t="s">
        <v>46</v>
      </c>
    </row>
    <row r="63" spans="1:15" x14ac:dyDescent="0.3">
      <c r="A63">
        <v>10275</v>
      </c>
      <c r="B63" s="1">
        <v>44836</v>
      </c>
      <c r="C63">
        <v>2001</v>
      </c>
      <c r="D63" t="s">
        <v>16</v>
      </c>
      <c r="E63">
        <v>9</v>
      </c>
      <c r="F63">
        <v>281.27999999999997</v>
      </c>
      <c r="G63">
        <v>0.25</v>
      </c>
      <c r="H63" t="s">
        <v>17</v>
      </c>
      <c r="I63" t="s">
        <v>11</v>
      </c>
      <c r="J63">
        <v>2531.5199999999995</v>
      </c>
      <c r="K63">
        <v>632.87999999999988</v>
      </c>
      <c r="L63">
        <v>1898.6399999999996</v>
      </c>
      <c r="M63">
        <v>2022</v>
      </c>
      <c r="N63" t="s">
        <v>48</v>
      </c>
      <c r="O63" t="s">
        <v>46</v>
      </c>
    </row>
    <row r="64" spans="1:15" x14ac:dyDescent="0.3">
      <c r="A64">
        <v>10269</v>
      </c>
      <c r="B64" s="1">
        <v>44830</v>
      </c>
      <c r="C64">
        <v>2071</v>
      </c>
      <c r="D64" t="s">
        <v>16</v>
      </c>
      <c r="E64">
        <v>7</v>
      </c>
      <c r="F64">
        <v>181.58</v>
      </c>
      <c r="G64">
        <v>0.25</v>
      </c>
      <c r="H64" t="s">
        <v>15</v>
      </c>
      <c r="I64" t="s">
        <v>11</v>
      </c>
      <c r="J64">
        <v>1271.0600000000002</v>
      </c>
      <c r="K64">
        <v>317.76500000000004</v>
      </c>
      <c r="L64">
        <v>953.29500000000007</v>
      </c>
      <c r="M64">
        <v>2022</v>
      </c>
      <c r="N64" t="s">
        <v>47</v>
      </c>
      <c r="O64" t="s">
        <v>46</v>
      </c>
    </row>
    <row r="65" spans="1:15" x14ac:dyDescent="0.3">
      <c r="A65">
        <v>10263</v>
      </c>
      <c r="B65" s="1">
        <v>44824</v>
      </c>
      <c r="C65">
        <v>2019</v>
      </c>
      <c r="D65" t="s">
        <v>16</v>
      </c>
      <c r="E65">
        <v>7</v>
      </c>
      <c r="F65">
        <v>296</v>
      </c>
      <c r="G65">
        <v>0.21</v>
      </c>
      <c r="H65" t="s">
        <v>17</v>
      </c>
      <c r="I65" t="s">
        <v>18</v>
      </c>
      <c r="J65">
        <v>2072</v>
      </c>
      <c r="K65">
        <v>435.12</v>
      </c>
      <c r="L65">
        <v>1636.88</v>
      </c>
      <c r="M65">
        <v>2022</v>
      </c>
      <c r="N65" t="s">
        <v>48</v>
      </c>
      <c r="O65" t="s">
        <v>46</v>
      </c>
    </row>
    <row r="66" spans="1:15" x14ac:dyDescent="0.3">
      <c r="A66">
        <v>10257</v>
      </c>
      <c r="B66" s="1">
        <v>44818</v>
      </c>
      <c r="C66">
        <v>2080</v>
      </c>
      <c r="D66" t="s">
        <v>16</v>
      </c>
      <c r="E66">
        <v>3</v>
      </c>
      <c r="F66">
        <v>223.8</v>
      </c>
      <c r="G66">
        <v>0.26</v>
      </c>
      <c r="H66" t="s">
        <v>10</v>
      </c>
      <c r="I66" t="s">
        <v>11</v>
      </c>
      <c r="J66">
        <v>671.40000000000009</v>
      </c>
      <c r="K66">
        <v>174.56400000000002</v>
      </c>
      <c r="L66">
        <v>496.83600000000007</v>
      </c>
      <c r="M66">
        <v>2022</v>
      </c>
      <c r="N66" t="s">
        <v>45</v>
      </c>
      <c r="O66" t="s">
        <v>46</v>
      </c>
    </row>
    <row r="67" spans="1:15" x14ac:dyDescent="0.3">
      <c r="A67">
        <v>10256</v>
      </c>
      <c r="B67" s="1">
        <v>44817</v>
      </c>
      <c r="C67">
        <v>2070</v>
      </c>
      <c r="D67" t="s">
        <v>16</v>
      </c>
      <c r="E67">
        <v>2</v>
      </c>
      <c r="F67">
        <v>442.44</v>
      </c>
      <c r="G67">
        <v>0.06</v>
      </c>
      <c r="H67" t="s">
        <v>10</v>
      </c>
      <c r="I67" t="s">
        <v>11</v>
      </c>
      <c r="J67">
        <v>884.88</v>
      </c>
      <c r="K67">
        <v>53.092799999999997</v>
      </c>
      <c r="L67">
        <v>831.78719999999998</v>
      </c>
      <c r="M67">
        <v>2022</v>
      </c>
      <c r="N67" t="s">
        <v>47</v>
      </c>
      <c r="O67" t="s">
        <v>47</v>
      </c>
    </row>
    <row r="68" spans="1:15" x14ac:dyDescent="0.3">
      <c r="A68">
        <v>10065</v>
      </c>
      <c r="B68" s="1">
        <v>44626</v>
      </c>
      <c r="C68">
        <v>2008</v>
      </c>
      <c r="D68" t="s">
        <v>16</v>
      </c>
      <c r="E68">
        <v>7</v>
      </c>
      <c r="F68">
        <v>299.23</v>
      </c>
      <c r="G68">
        <v>0.23</v>
      </c>
      <c r="H68" t="s">
        <v>10</v>
      </c>
      <c r="I68" t="s">
        <v>11</v>
      </c>
      <c r="J68">
        <v>2094.61</v>
      </c>
      <c r="K68">
        <v>481.76030000000003</v>
      </c>
      <c r="L68">
        <v>1612.8497000000002</v>
      </c>
      <c r="M68">
        <v>2022</v>
      </c>
      <c r="N68" t="s">
        <v>48</v>
      </c>
      <c r="O68" t="s">
        <v>46</v>
      </c>
    </row>
    <row r="69" spans="1:15" x14ac:dyDescent="0.3">
      <c r="A69">
        <v>10250</v>
      </c>
      <c r="B69" s="1">
        <v>44811</v>
      </c>
      <c r="C69">
        <v>2086</v>
      </c>
      <c r="D69" t="s">
        <v>16</v>
      </c>
      <c r="E69">
        <v>6</v>
      </c>
      <c r="F69">
        <v>9.4700000000000006</v>
      </c>
      <c r="G69">
        <v>0.05</v>
      </c>
      <c r="H69" t="s">
        <v>10</v>
      </c>
      <c r="I69" t="s">
        <v>11</v>
      </c>
      <c r="J69">
        <v>56.820000000000007</v>
      </c>
      <c r="K69">
        <v>2.8410000000000006</v>
      </c>
      <c r="L69">
        <v>53.979000000000006</v>
      </c>
      <c r="M69">
        <v>2022</v>
      </c>
      <c r="N69" t="s">
        <v>45</v>
      </c>
      <c r="O69" t="s">
        <v>47</v>
      </c>
    </row>
    <row r="70" spans="1:15" x14ac:dyDescent="0.3">
      <c r="A70">
        <v>10247</v>
      </c>
      <c r="B70" s="1">
        <v>44808</v>
      </c>
      <c r="C70">
        <v>2069</v>
      </c>
      <c r="D70" t="s">
        <v>16</v>
      </c>
      <c r="E70">
        <v>5</v>
      </c>
      <c r="F70">
        <v>159.51</v>
      </c>
      <c r="G70">
        <v>0.17</v>
      </c>
      <c r="H70" t="s">
        <v>15</v>
      </c>
      <c r="I70" t="s">
        <v>18</v>
      </c>
      <c r="J70">
        <v>797.55</v>
      </c>
      <c r="K70">
        <v>135.58350000000002</v>
      </c>
      <c r="L70">
        <v>661.9665</v>
      </c>
      <c r="M70">
        <v>2022</v>
      </c>
      <c r="N70" t="s">
        <v>47</v>
      </c>
      <c r="O70" t="s">
        <v>48</v>
      </c>
    </row>
    <row r="71" spans="1:15" x14ac:dyDescent="0.3">
      <c r="A71">
        <v>10245</v>
      </c>
      <c r="B71" s="1">
        <v>44806</v>
      </c>
      <c r="C71">
        <v>2038</v>
      </c>
      <c r="D71" t="s">
        <v>16</v>
      </c>
      <c r="E71">
        <v>9</v>
      </c>
      <c r="F71">
        <v>52.15</v>
      </c>
      <c r="G71">
        <v>0.05</v>
      </c>
      <c r="H71" t="s">
        <v>10</v>
      </c>
      <c r="I71" t="s">
        <v>11</v>
      </c>
      <c r="J71">
        <v>469.34999999999997</v>
      </c>
      <c r="K71">
        <v>23.467500000000001</v>
      </c>
      <c r="L71">
        <v>445.88249999999994</v>
      </c>
      <c r="M71">
        <v>2022</v>
      </c>
      <c r="N71" t="s">
        <v>45</v>
      </c>
      <c r="O71" t="s">
        <v>47</v>
      </c>
    </row>
    <row r="72" spans="1:15" x14ac:dyDescent="0.3">
      <c r="A72">
        <v>10244</v>
      </c>
      <c r="B72" s="1">
        <v>44805</v>
      </c>
      <c r="C72">
        <v>2017</v>
      </c>
      <c r="D72" t="s">
        <v>16</v>
      </c>
      <c r="E72">
        <v>6</v>
      </c>
      <c r="F72">
        <v>333</v>
      </c>
      <c r="G72">
        <v>0.03</v>
      </c>
      <c r="H72" t="s">
        <v>17</v>
      </c>
      <c r="I72" t="s">
        <v>18</v>
      </c>
      <c r="J72">
        <v>1998</v>
      </c>
      <c r="K72">
        <v>59.94</v>
      </c>
      <c r="L72">
        <v>1938.06</v>
      </c>
      <c r="M72">
        <v>2022</v>
      </c>
      <c r="N72" t="s">
        <v>48</v>
      </c>
      <c r="O72" t="s">
        <v>47</v>
      </c>
    </row>
    <row r="73" spans="1:15" x14ac:dyDescent="0.3">
      <c r="A73">
        <v>10242</v>
      </c>
      <c r="B73" s="1">
        <v>44803</v>
      </c>
      <c r="C73">
        <v>2075</v>
      </c>
      <c r="D73" t="s">
        <v>16</v>
      </c>
      <c r="E73">
        <v>5</v>
      </c>
      <c r="F73">
        <v>298.49</v>
      </c>
      <c r="G73">
        <v>0.22</v>
      </c>
      <c r="H73" t="s">
        <v>15</v>
      </c>
      <c r="I73" t="s">
        <v>18</v>
      </c>
      <c r="J73">
        <v>1492.45</v>
      </c>
      <c r="K73">
        <v>328.339</v>
      </c>
      <c r="L73">
        <v>1164.1110000000001</v>
      </c>
      <c r="M73">
        <v>2022</v>
      </c>
      <c r="N73" t="s">
        <v>48</v>
      </c>
      <c r="O73" t="s">
        <v>46</v>
      </c>
    </row>
    <row r="74" spans="1:15" x14ac:dyDescent="0.3">
      <c r="A74">
        <v>10240</v>
      </c>
      <c r="B74" s="1">
        <v>44801</v>
      </c>
      <c r="C74">
        <v>2068</v>
      </c>
      <c r="D74" t="s">
        <v>16</v>
      </c>
      <c r="E74">
        <v>7</v>
      </c>
      <c r="F74">
        <v>53.21</v>
      </c>
      <c r="G74">
        <v>0.12</v>
      </c>
      <c r="H74" t="s">
        <v>10</v>
      </c>
      <c r="I74" t="s">
        <v>11</v>
      </c>
      <c r="J74">
        <v>372.47</v>
      </c>
      <c r="K74">
        <v>44.696400000000004</v>
      </c>
      <c r="L74">
        <v>327.77360000000004</v>
      </c>
      <c r="M74">
        <v>2022</v>
      </c>
      <c r="N74" t="s">
        <v>45</v>
      </c>
      <c r="O74" t="s">
        <v>48</v>
      </c>
    </row>
    <row r="75" spans="1:15" x14ac:dyDescent="0.3">
      <c r="A75">
        <v>10233</v>
      </c>
      <c r="B75" s="1">
        <v>44794</v>
      </c>
      <c r="C75">
        <v>2002</v>
      </c>
      <c r="D75" t="s">
        <v>16</v>
      </c>
      <c r="E75">
        <v>2</v>
      </c>
      <c r="F75">
        <v>302.92</v>
      </c>
      <c r="G75">
        <v>0.03</v>
      </c>
      <c r="H75" t="s">
        <v>20</v>
      </c>
      <c r="I75" t="s">
        <v>18</v>
      </c>
      <c r="J75">
        <v>605.84</v>
      </c>
      <c r="K75">
        <v>18.1752</v>
      </c>
      <c r="L75">
        <v>587.66480000000001</v>
      </c>
      <c r="M75">
        <v>2022</v>
      </c>
      <c r="N75" t="s">
        <v>47</v>
      </c>
      <c r="O75" t="s">
        <v>47</v>
      </c>
    </row>
    <row r="76" spans="1:15" x14ac:dyDescent="0.3">
      <c r="A76">
        <v>10223</v>
      </c>
      <c r="B76" s="1">
        <v>44784</v>
      </c>
      <c r="C76">
        <v>2059</v>
      </c>
      <c r="D76" t="s">
        <v>16</v>
      </c>
      <c r="E76">
        <v>2</v>
      </c>
      <c r="F76">
        <v>329.23</v>
      </c>
      <c r="G76">
        <v>0.28999999999999998</v>
      </c>
      <c r="H76" t="s">
        <v>20</v>
      </c>
      <c r="I76" t="s">
        <v>18</v>
      </c>
      <c r="J76">
        <v>658.46</v>
      </c>
      <c r="K76">
        <v>190.95339999999999</v>
      </c>
      <c r="L76">
        <v>467.50660000000005</v>
      </c>
      <c r="M76">
        <v>2022</v>
      </c>
      <c r="N76" t="s">
        <v>45</v>
      </c>
      <c r="O76" t="s">
        <v>46</v>
      </c>
    </row>
    <row r="77" spans="1:15" x14ac:dyDescent="0.3">
      <c r="A77">
        <v>10074</v>
      </c>
      <c r="B77" s="1">
        <v>44635</v>
      </c>
      <c r="C77">
        <v>2006</v>
      </c>
      <c r="D77" t="s">
        <v>16</v>
      </c>
      <c r="E77">
        <v>4</v>
      </c>
      <c r="F77">
        <v>236.93</v>
      </c>
      <c r="G77">
        <v>0.18</v>
      </c>
      <c r="H77" t="s">
        <v>13</v>
      </c>
      <c r="I77" t="s">
        <v>18</v>
      </c>
      <c r="J77">
        <v>947.72</v>
      </c>
      <c r="K77">
        <v>170.58959999999999</v>
      </c>
      <c r="L77">
        <v>777.13040000000001</v>
      </c>
      <c r="M77">
        <v>2022</v>
      </c>
      <c r="N77" t="s">
        <v>47</v>
      </c>
      <c r="O77" t="s">
        <v>48</v>
      </c>
    </row>
    <row r="78" spans="1:15" x14ac:dyDescent="0.3">
      <c r="A78">
        <v>10215</v>
      </c>
      <c r="B78" s="1">
        <v>44776</v>
      </c>
      <c r="C78">
        <v>2058</v>
      </c>
      <c r="D78" t="s">
        <v>16</v>
      </c>
      <c r="E78">
        <v>8</v>
      </c>
      <c r="F78">
        <v>273.93</v>
      </c>
      <c r="G78">
        <v>0.3</v>
      </c>
      <c r="H78" t="s">
        <v>10</v>
      </c>
      <c r="I78" t="s">
        <v>11</v>
      </c>
      <c r="J78">
        <v>2191.44</v>
      </c>
      <c r="K78">
        <v>657.43200000000002</v>
      </c>
      <c r="L78">
        <v>1534.008</v>
      </c>
      <c r="M78">
        <v>2022</v>
      </c>
      <c r="N78" t="s">
        <v>48</v>
      </c>
      <c r="O78" t="s">
        <v>46</v>
      </c>
    </row>
    <row r="79" spans="1:15" x14ac:dyDescent="0.3">
      <c r="A79">
        <v>10076</v>
      </c>
      <c r="B79" s="1">
        <v>44637</v>
      </c>
      <c r="C79">
        <v>2004</v>
      </c>
      <c r="D79" t="s">
        <v>16</v>
      </c>
      <c r="E79">
        <v>4</v>
      </c>
      <c r="F79">
        <v>55.59</v>
      </c>
      <c r="G79">
        <v>0.12</v>
      </c>
      <c r="H79" t="s">
        <v>15</v>
      </c>
      <c r="I79" t="s">
        <v>18</v>
      </c>
      <c r="J79">
        <v>222.36</v>
      </c>
      <c r="K79">
        <v>26.683199999999999</v>
      </c>
      <c r="L79">
        <v>195.67680000000001</v>
      </c>
      <c r="M79">
        <v>2022</v>
      </c>
      <c r="N79" t="s">
        <v>45</v>
      </c>
      <c r="O79" t="s">
        <v>48</v>
      </c>
    </row>
    <row r="80" spans="1:15" x14ac:dyDescent="0.3">
      <c r="A80">
        <v>10205</v>
      </c>
      <c r="B80" s="1">
        <v>44766</v>
      </c>
      <c r="C80">
        <v>2051</v>
      </c>
      <c r="D80" t="s">
        <v>16</v>
      </c>
      <c r="E80">
        <v>8</v>
      </c>
      <c r="F80">
        <v>105.77</v>
      </c>
      <c r="G80">
        <v>0.03</v>
      </c>
      <c r="H80" t="s">
        <v>17</v>
      </c>
      <c r="I80" t="s">
        <v>11</v>
      </c>
      <c r="J80">
        <v>846.16</v>
      </c>
      <c r="K80">
        <v>25.384799999999998</v>
      </c>
      <c r="L80">
        <v>820.77519999999993</v>
      </c>
      <c r="M80">
        <v>2022</v>
      </c>
      <c r="N80" t="s">
        <v>47</v>
      </c>
      <c r="O80" t="s">
        <v>47</v>
      </c>
    </row>
    <row r="81" spans="1:15" x14ac:dyDescent="0.3">
      <c r="A81">
        <v>10078</v>
      </c>
      <c r="B81" s="1">
        <v>44639</v>
      </c>
      <c r="C81">
        <v>2093</v>
      </c>
      <c r="D81" t="s">
        <v>16</v>
      </c>
      <c r="E81">
        <v>8</v>
      </c>
      <c r="F81">
        <v>265.88</v>
      </c>
      <c r="G81">
        <v>0.06</v>
      </c>
      <c r="H81" t="s">
        <v>17</v>
      </c>
      <c r="I81" t="s">
        <v>18</v>
      </c>
      <c r="J81">
        <v>2127.04</v>
      </c>
      <c r="K81">
        <v>127.6224</v>
      </c>
      <c r="L81">
        <v>1999.4176</v>
      </c>
      <c r="M81">
        <v>2022</v>
      </c>
      <c r="N81" t="s">
        <v>48</v>
      </c>
      <c r="O81" t="s">
        <v>47</v>
      </c>
    </row>
    <row r="82" spans="1:15" x14ac:dyDescent="0.3">
      <c r="A82">
        <v>10202</v>
      </c>
      <c r="B82" s="1">
        <v>44763</v>
      </c>
      <c r="C82">
        <v>2062</v>
      </c>
      <c r="D82" t="s">
        <v>16</v>
      </c>
      <c r="E82">
        <v>3</v>
      </c>
      <c r="F82">
        <v>204.61</v>
      </c>
      <c r="G82">
        <v>0.01</v>
      </c>
      <c r="H82" t="s">
        <v>20</v>
      </c>
      <c r="I82" t="s">
        <v>18</v>
      </c>
      <c r="J82">
        <v>613.83000000000004</v>
      </c>
      <c r="K82">
        <v>6.138300000000001</v>
      </c>
      <c r="L82">
        <v>607.69170000000008</v>
      </c>
      <c r="M82">
        <v>2022</v>
      </c>
      <c r="N82" t="s">
        <v>47</v>
      </c>
      <c r="O82" t="s">
        <v>47</v>
      </c>
    </row>
    <row r="83" spans="1:15" x14ac:dyDescent="0.3">
      <c r="A83">
        <v>10201</v>
      </c>
      <c r="B83" s="1">
        <v>44762</v>
      </c>
      <c r="C83">
        <v>2009</v>
      </c>
      <c r="D83" t="s">
        <v>16</v>
      </c>
      <c r="E83">
        <v>7</v>
      </c>
      <c r="F83">
        <v>45.36</v>
      </c>
      <c r="G83">
        <v>0.05</v>
      </c>
      <c r="H83" t="s">
        <v>17</v>
      </c>
      <c r="I83" t="s">
        <v>18</v>
      </c>
      <c r="J83">
        <v>317.52</v>
      </c>
      <c r="K83">
        <v>15.875999999999999</v>
      </c>
      <c r="L83">
        <v>301.64400000000001</v>
      </c>
      <c r="M83">
        <v>2022</v>
      </c>
      <c r="N83" t="s">
        <v>45</v>
      </c>
      <c r="O83" t="s">
        <v>47</v>
      </c>
    </row>
    <row r="84" spans="1:15" x14ac:dyDescent="0.3">
      <c r="A84">
        <v>10081</v>
      </c>
      <c r="B84" s="1">
        <v>44642</v>
      </c>
      <c r="C84">
        <v>2090</v>
      </c>
      <c r="D84" t="s">
        <v>16</v>
      </c>
      <c r="E84">
        <v>2</v>
      </c>
      <c r="F84">
        <v>420.77</v>
      </c>
      <c r="G84">
        <v>0.23</v>
      </c>
      <c r="H84" t="s">
        <v>20</v>
      </c>
      <c r="I84" t="s">
        <v>18</v>
      </c>
      <c r="J84">
        <v>841.54</v>
      </c>
      <c r="K84">
        <v>193.55420000000001</v>
      </c>
      <c r="L84">
        <v>647.98579999999993</v>
      </c>
      <c r="M84">
        <v>2022</v>
      </c>
      <c r="N84" t="s">
        <v>47</v>
      </c>
      <c r="O84" t="s">
        <v>46</v>
      </c>
    </row>
    <row r="85" spans="1:15" x14ac:dyDescent="0.3">
      <c r="A85">
        <v>10082</v>
      </c>
      <c r="B85" s="1">
        <v>44643</v>
      </c>
      <c r="C85">
        <v>2044</v>
      </c>
      <c r="D85" t="s">
        <v>16</v>
      </c>
      <c r="E85">
        <v>3</v>
      </c>
      <c r="F85">
        <v>387.55</v>
      </c>
      <c r="G85">
        <v>0.19</v>
      </c>
      <c r="H85" t="s">
        <v>15</v>
      </c>
      <c r="I85" t="s">
        <v>18</v>
      </c>
      <c r="J85">
        <v>1162.6500000000001</v>
      </c>
      <c r="K85">
        <v>220.90350000000001</v>
      </c>
      <c r="L85">
        <v>941.74650000000008</v>
      </c>
      <c r="M85">
        <v>2022</v>
      </c>
      <c r="N85" t="s">
        <v>47</v>
      </c>
      <c r="O85" t="s">
        <v>48</v>
      </c>
    </row>
    <row r="86" spans="1:15" x14ac:dyDescent="0.3">
      <c r="A86">
        <v>10200</v>
      </c>
      <c r="B86" s="1">
        <v>44761</v>
      </c>
      <c r="C86">
        <v>2027</v>
      </c>
      <c r="D86" t="s">
        <v>16</v>
      </c>
      <c r="E86">
        <v>9</v>
      </c>
      <c r="F86">
        <v>249.17</v>
      </c>
      <c r="G86">
        <v>0.18</v>
      </c>
      <c r="H86" t="s">
        <v>15</v>
      </c>
      <c r="I86" t="s">
        <v>11</v>
      </c>
      <c r="J86">
        <v>2242.5299999999997</v>
      </c>
      <c r="K86">
        <v>403.65539999999993</v>
      </c>
      <c r="L86">
        <v>1838.8745999999999</v>
      </c>
      <c r="M86">
        <v>2022</v>
      </c>
      <c r="N86" t="s">
        <v>48</v>
      </c>
      <c r="O86" t="s">
        <v>48</v>
      </c>
    </row>
    <row r="87" spans="1:15" x14ac:dyDescent="0.3">
      <c r="A87">
        <v>10199</v>
      </c>
      <c r="B87" s="1">
        <v>44760</v>
      </c>
      <c r="C87">
        <v>2072</v>
      </c>
      <c r="D87" t="s">
        <v>16</v>
      </c>
      <c r="E87">
        <v>1</v>
      </c>
      <c r="F87">
        <v>273.52999999999997</v>
      </c>
      <c r="G87">
        <v>0.16</v>
      </c>
      <c r="H87" t="s">
        <v>17</v>
      </c>
      <c r="I87" t="s">
        <v>18</v>
      </c>
      <c r="J87">
        <v>273.52999999999997</v>
      </c>
      <c r="K87">
        <v>43.764799999999994</v>
      </c>
      <c r="L87">
        <v>229.76519999999999</v>
      </c>
      <c r="M87">
        <v>2022</v>
      </c>
      <c r="N87" t="s">
        <v>45</v>
      </c>
      <c r="O87" t="s">
        <v>48</v>
      </c>
    </row>
    <row r="88" spans="1:15" x14ac:dyDescent="0.3">
      <c r="A88">
        <v>10198</v>
      </c>
      <c r="B88" s="1">
        <v>44759</v>
      </c>
      <c r="C88">
        <v>2070</v>
      </c>
      <c r="D88" t="s">
        <v>16</v>
      </c>
      <c r="E88">
        <v>8</v>
      </c>
      <c r="F88">
        <v>169.5</v>
      </c>
      <c r="G88">
        <v>0.28000000000000003</v>
      </c>
      <c r="H88" t="s">
        <v>15</v>
      </c>
      <c r="I88" t="s">
        <v>18</v>
      </c>
      <c r="J88">
        <v>1356</v>
      </c>
      <c r="K88">
        <v>379.68000000000006</v>
      </c>
      <c r="L88">
        <v>976.31999999999994</v>
      </c>
      <c r="M88">
        <v>2022</v>
      </c>
      <c r="N88" t="s">
        <v>47</v>
      </c>
      <c r="O88" t="s">
        <v>46</v>
      </c>
    </row>
    <row r="89" spans="1:15" x14ac:dyDescent="0.3">
      <c r="A89">
        <v>10086</v>
      </c>
      <c r="B89" s="1">
        <v>44647</v>
      </c>
      <c r="C89">
        <v>2100</v>
      </c>
      <c r="D89" t="s">
        <v>16</v>
      </c>
      <c r="E89">
        <v>5</v>
      </c>
      <c r="F89">
        <v>481.8</v>
      </c>
      <c r="G89">
        <v>0.02</v>
      </c>
      <c r="H89" t="s">
        <v>15</v>
      </c>
      <c r="I89" t="s">
        <v>18</v>
      </c>
      <c r="J89">
        <v>2409</v>
      </c>
      <c r="K89">
        <v>48.18</v>
      </c>
      <c r="L89">
        <v>2360.8200000000002</v>
      </c>
      <c r="M89">
        <v>2022</v>
      </c>
      <c r="N89" t="s">
        <v>46</v>
      </c>
      <c r="O89" t="s">
        <v>47</v>
      </c>
    </row>
    <row r="90" spans="1:15" x14ac:dyDescent="0.3">
      <c r="A90">
        <v>10195</v>
      </c>
      <c r="B90" s="1">
        <v>44756</v>
      </c>
      <c r="C90">
        <v>2062</v>
      </c>
      <c r="D90" t="s">
        <v>16</v>
      </c>
      <c r="E90">
        <v>7</v>
      </c>
      <c r="F90">
        <v>85.03</v>
      </c>
      <c r="G90">
        <v>0.14000000000000001</v>
      </c>
      <c r="H90" t="s">
        <v>15</v>
      </c>
      <c r="I90" t="s">
        <v>18</v>
      </c>
      <c r="J90">
        <v>595.21</v>
      </c>
      <c r="K90">
        <v>83.329400000000007</v>
      </c>
      <c r="L90">
        <v>511.88060000000002</v>
      </c>
      <c r="M90">
        <v>2022</v>
      </c>
      <c r="N90" t="s">
        <v>47</v>
      </c>
      <c r="O90" t="s">
        <v>48</v>
      </c>
    </row>
    <row r="91" spans="1:15" x14ac:dyDescent="0.3">
      <c r="A91">
        <v>10188</v>
      </c>
      <c r="B91" s="1">
        <v>44749</v>
      </c>
      <c r="C91">
        <v>2075</v>
      </c>
      <c r="D91" t="s">
        <v>16</v>
      </c>
      <c r="E91">
        <v>7</v>
      </c>
      <c r="F91">
        <v>309.79000000000002</v>
      </c>
      <c r="G91">
        <v>0.08</v>
      </c>
      <c r="H91" t="s">
        <v>15</v>
      </c>
      <c r="I91" t="s">
        <v>18</v>
      </c>
      <c r="J91">
        <v>2168.5300000000002</v>
      </c>
      <c r="K91">
        <v>173.48240000000001</v>
      </c>
      <c r="L91">
        <v>1995.0476000000001</v>
      </c>
      <c r="M91">
        <v>2022</v>
      </c>
      <c r="N91" t="s">
        <v>48</v>
      </c>
      <c r="O91" t="s">
        <v>47</v>
      </c>
    </row>
    <row r="92" spans="1:15" x14ac:dyDescent="0.3">
      <c r="A92">
        <v>10184</v>
      </c>
      <c r="B92" s="1">
        <v>44745</v>
      </c>
      <c r="C92">
        <v>2044</v>
      </c>
      <c r="D92" t="s">
        <v>16</v>
      </c>
      <c r="E92">
        <v>3</v>
      </c>
      <c r="F92">
        <v>363.79</v>
      </c>
      <c r="G92">
        <v>0.28999999999999998</v>
      </c>
      <c r="H92" t="s">
        <v>10</v>
      </c>
      <c r="I92" t="s">
        <v>11</v>
      </c>
      <c r="J92">
        <v>1091.3700000000001</v>
      </c>
      <c r="K92">
        <v>316.4973</v>
      </c>
      <c r="L92">
        <v>774.87270000000012</v>
      </c>
      <c r="M92">
        <v>2022</v>
      </c>
      <c r="N92" t="s">
        <v>47</v>
      </c>
      <c r="O92" t="s">
        <v>46</v>
      </c>
    </row>
    <row r="93" spans="1:15" x14ac:dyDescent="0.3">
      <c r="A93">
        <v>10178</v>
      </c>
      <c r="B93" s="1">
        <v>44739</v>
      </c>
      <c r="C93">
        <v>2045</v>
      </c>
      <c r="D93" t="s">
        <v>16</v>
      </c>
      <c r="E93">
        <v>2</v>
      </c>
      <c r="F93">
        <v>300.75</v>
      </c>
      <c r="G93">
        <v>0.13</v>
      </c>
      <c r="H93" t="s">
        <v>10</v>
      </c>
      <c r="I93" t="s">
        <v>11</v>
      </c>
      <c r="J93">
        <v>601.5</v>
      </c>
      <c r="K93">
        <v>78.195000000000007</v>
      </c>
      <c r="L93">
        <v>523.30499999999995</v>
      </c>
      <c r="M93">
        <v>2022</v>
      </c>
      <c r="N93" t="s">
        <v>47</v>
      </c>
      <c r="O93" t="s">
        <v>48</v>
      </c>
    </row>
    <row r="94" spans="1:15" x14ac:dyDescent="0.3">
      <c r="A94">
        <v>10177</v>
      </c>
      <c r="B94" s="1">
        <v>44738</v>
      </c>
      <c r="C94">
        <v>2042</v>
      </c>
      <c r="D94" t="s">
        <v>16</v>
      </c>
      <c r="E94">
        <v>3</v>
      </c>
      <c r="F94">
        <v>278.74</v>
      </c>
      <c r="G94">
        <v>0.02</v>
      </c>
      <c r="H94" t="s">
        <v>20</v>
      </c>
      <c r="I94" t="s">
        <v>11</v>
      </c>
      <c r="J94">
        <v>836.22</v>
      </c>
      <c r="K94">
        <v>16.724399999999999</v>
      </c>
      <c r="L94">
        <v>819.49560000000008</v>
      </c>
      <c r="M94">
        <v>2022</v>
      </c>
      <c r="N94" t="s">
        <v>47</v>
      </c>
      <c r="O94" t="s">
        <v>47</v>
      </c>
    </row>
    <row r="95" spans="1:15" x14ac:dyDescent="0.3">
      <c r="A95">
        <v>10170</v>
      </c>
      <c r="B95" s="1">
        <v>44731</v>
      </c>
      <c r="C95">
        <v>2013</v>
      </c>
      <c r="D95" t="s">
        <v>16</v>
      </c>
      <c r="E95">
        <v>8</v>
      </c>
      <c r="F95">
        <v>467.92</v>
      </c>
      <c r="G95">
        <v>0.28999999999999998</v>
      </c>
      <c r="H95" t="s">
        <v>13</v>
      </c>
      <c r="I95" t="s">
        <v>11</v>
      </c>
      <c r="J95">
        <v>3743.36</v>
      </c>
      <c r="K95">
        <v>1085.5744</v>
      </c>
      <c r="L95">
        <v>2657.7856000000002</v>
      </c>
      <c r="M95">
        <v>2022</v>
      </c>
      <c r="N95" t="s">
        <v>46</v>
      </c>
      <c r="O95" t="s">
        <v>46</v>
      </c>
    </row>
    <row r="96" spans="1:15" x14ac:dyDescent="0.3">
      <c r="A96">
        <v>10165</v>
      </c>
      <c r="B96" s="1">
        <v>44726</v>
      </c>
      <c r="C96">
        <v>2023</v>
      </c>
      <c r="D96" t="s">
        <v>16</v>
      </c>
      <c r="E96">
        <v>1</v>
      </c>
      <c r="F96">
        <v>448.63</v>
      </c>
      <c r="G96">
        <v>0.01</v>
      </c>
      <c r="H96" t="s">
        <v>13</v>
      </c>
      <c r="I96" t="s">
        <v>18</v>
      </c>
      <c r="J96">
        <v>448.63</v>
      </c>
      <c r="K96">
        <v>4.4863</v>
      </c>
      <c r="L96">
        <v>444.14369999999997</v>
      </c>
      <c r="M96">
        <v>2022</v>
      </c>
      <c r="N96" t="s">
        <v>45</v>
      </c>
      <c r="O96" t="s">
        <v>47</v>
      </c>
    </row>
    <row r="97" spans="1:15" x14ac:dyDescent="0.3">
      <c r="A97">
        <v>10094</v>
      </c>
      <c r="B97" s="1">
        <v>44655</v>
      </c>
      <c r="C97">
        <v>2062</v>
      </c>
      <c r="D97" t="s">
        <v>16</v>
      </c>
      <c r="E97">
        <v>2</v>
      </c>
      <c r="F97">
        <v>159.41999999999999</v>
      </c>
      <c r="G97">
        <v>7.0000000000000007E-2</v>
      </c>
      <c r="H97" t="s">
        <v>17</v>
      </c>
      <c r="I97" t="s">
        <v>11</v>
      </c>
      <c r="J97">
        <v>318.83999999999997</v>
      </c>
      <c r="K97">
        <v>22.3188</v>
      </c>
      <c r="L97">
        <v>296.52119999999996</v>
      </c>
      <c r="M97">
        <v>2022</v>
      </c>
      <c r="N97" t="s">
        <v>45</v>
      </c>
      <c r="O97" t="s">
        <v>47</v>
      </c>
    </row>
    <row r="98" spans="1:15" x14ac:dyDescent="0.3">
      <c r="A98">
        <v>10160</v>
      </c>
      <c r="B98" s="1">
        <v>44721</v>
      </c>
      <c r="C98">
        <v>2096</v>
      </c>
      <c r="D98" t="s">
        <v>16</v>
      </c>
      <c r="E98">
        <v>1</v>
      </c>
      <c r="F98">
        <v>411.61</v>
      </c>
      <c r="G98">
        <v>0.01</v>
      </c>
      <c r="H98" t="s">
        <v>15</v>
      </c>
      <c r="I98" t="s">
        <v>11</v>
      </c>
      <c r="J98">
        <v>411.61</v>
      </c>
      <c r="K98">
        <v>4.1161000000000003</v>
      </c>
      <c r="L98">
        <v>407.4939</v>
      </c>
      <c r="M98">
        <v>2022</v>
      </c>
      <c r="N98" t="s">
        <v>45</v>
      </c>
      <c r="O98" t="s">
        <v>47</v>
      </c>
    </row>
    <row r="99" spans="1:15" x14ac:dyDescent="0.3">
      <c r="A99">
        <v>10158</v>
      </c>
      <c r="B99" s="1">
        <v>44719</v>
      </c>
      <c r="C99">
        <v>2051</v>
      </c>
      <c r="D99" t="s">
        <v>16</v>
      </c>
      <c r="E99">
        <v>4</v>
      </c>
      <c r="F99">
        <v>104.43</v>
      </c>
      <c r="G99">
        <v>0.13</v>
      </c>
      <c r="H99" t="s">
        <v>13</v>
      </c>
      <c r="I99" t="s">
        <v>18</v>
      </c>
      <c r="J99">
        <v>417.72</v>
      </c>
      <c r="K99">
        <v>54.303600000000003</v>
      </c>
      <c r="L99">
        <v>363.41640000000001</v>
      </c>
      <c r="M99">
        <v>2022</v>
      </c>
      <c r="N99" t="s">
        <v>45</v>
      </c>
      <c r="O99" t="s">
        <v>48</v>
      </c>
    </row>
    <row r="100" spans="1:15" x14ac:dyDescent="0.3">
      <c r="A100">
        <v>10097</v>
      </c>
      <c r="B100" s="1">
        <v>44658</v>
      </c>
      <c r="C100">
        <v>2080</v>
      </c>
      <c r="D100" t="s">
        <v>16</v>
      </c>
      <c r="E100">
        <v>8</v>
      </c>
      <c r="F100">
        <v>374.19</v>
      </c>
      <c r="G100">
        <v>0.2</v>
      </c>
      <c r="H100" t="s">
        <v>10</v>
      </c>
      <c r="I100" t="s">
        <v>18</v>
      </c>
      <c r="J100">
        <v>2993.52</v>
      </c>
      <c r="K100">
        <v>598.70400000000006</v>
      </c>
      <c r="L100">
        <v>2394.8159999999998</v>
      </c>
      <c r="M100">
        <v>2022</v>
      </c>
      <c r="N100" t="s">
        <v>46</v>
      </c>
      <c r="O100" t="s">
        <v>46</v>
      </c>
    </row>
    <row r="101" spans="1:15" x14ac:dyDescent="0.3">
      <c r="A101">
        <v>10157</v>
      </c>
      <c r="B101" s="1">
        <v>44718</v>
      </c>
      <c r="C101">
        <v>2077</v>
      </c>
      <c r="D101" t="s">
        <v>16</v>
      </c>
      <c r="E101">
        <v>1</v>
      </c>
      <c r="F101">
        <v>488.85</v>
      </c>
      <c r="G101">
        <v>0.3</v>
      </c>
      <c r="H101" t="s">
        <v>13</v>
      </c>
      <c r="I101" t="s">
        <v>11</v>
      </c>
      <c r="J101">
        <v>488.85</v>
      </c>
      <c r="K101">
        <v>146.655</v>
      </c>
      <c r="L101">
        <v>342.19500000000005</v>
      </c>
      <c r="M101">
        <v>2022</v>
      </c>
      <c r="N101" t="s">
        <v>45</v>
      </c>
      <c r="O101" t="s">
        <v>46</v>
      </c>
    </row>
    <row r="102" spans="1:15" x14ac:dyDescent="0.3">
      <c r="A102">
        <v>10156</v>
      </c>
      <c r="B102" s="1">
        <v>44717</v>
      </c>
      <c r="C102">
        <v>2042</v>
      </c>
      <c r="D102" t="s">
        <v>16</v>
      </c>
      <c r="E102">
        <v>7</v>
      </c>
      <c r="F102">
        <v>164.44</v>
      </c>
      <c r="G102">
        <v>0.03</v>
      </c>
      <c r="H102" t="s">
        <v>17</v>
      </c>
      <c r="I102" t="s">
        <v>11</v>
      </c>
      <c r="J102">
        <v>1151.08</v>
      </c>
      <c r="K102">
        <v>34.532399999999996</v>
      </c>
      <c r="L102">
        <v>1116.5475999999999</v>
      </c>
      <c r="M102">
        <v>2022</v>
      </c>
      <c r="N102" t="s">
        <v>48</v>
      </c>
      <c r="O102" t="s">
        <v>47</v>
      </c>
    </row>
    <row r="103" spans="1:15" x14ac:dyDescent="0.3">
      <c r="A103">
        <v>10149</v>
      </c>
      <c r="B103" s="1">
        <v>44710</v>
      </c>
      <c r="C103">
        <v>2090</v>
      </c>
      <c r="D103" t="s">
        <v>16</v>
      </c>
      <c r="E103">
        <v>8</v>
      </c>
      <c r="F103">
        <v>470.91</v>
      </c>
      <c r="G103">
        <v>0.15</v>
      </c>
      <c r="H103" t="s">
        <v>17</v>
      </c>
      <c r="I103" t="s">
        <v>11</v>
      </c>
      <c r="J103">
        <v>3767.28</v>
      </c>
      <c r="K103">
        <v>565.09199999999998</v>
      </c>
      <c r="L103">
        <v>3202.1880000000001</v>
      </c>
      <c r="M103">
        <v>2022</v>
      </c>
      <c r="N103" t="s">
        <v>49</v>
      </c>
      <c r="O103" t="s">
        <v>48</v>
      </c>
    </row>
    <row r="104" spans="1:15" x14ac:dyDescent="0.3">
      <c r="A104">
        <v>10148</v>
      </c>
      <c r="B104" s="1">
        <v>44709</v>
      </c>
      <c r="C104">
        <v>2005</v>
      </c>
      <c r="D104" t="s">
        <v>16</v>
      </c>
      <c r="E104">
        <v>5</v>
      </c>
      <c r="F104">
        <v>389.02</v>
      </c>
      <c r="G104">
        <v>0.25</v>
      </c>
      <c r="H104" t="s">
        <v>10</v>
      </c>
      <c r="I104" t="s">
        <v>11</v>
      </c>
      <c r="J104">
        <v>1945.1</v>
      </c>
      <c r="K104">
        <v>486.27499999999998</v>
      </c>
      <c r="L104">
        <v>1458.8249999999998</v>
      </c>
      <c r="M104">
        <v>2022</v>
      </c>
      <c r="N104" t="s">
        <v>48</v>
      </c>
      <c r="O104" t="s">
        <v>46</v>
      </c>
    </row>
    <row r="105" spans="1:15" x14ac:dyDescent="0.3">
      <c r="A105">
        <v>10138</v>
      </c>
      <c r="B105" s="1">
        <v>44699</v>
      </c>
      <c r="C105">
        <v>2044</v>
      </c>
      <c r="D105" t="s">
        <v>16</v>
      </c>
      <c r="E105">
        <v>2</v>
      </c>
      <c r="F105">
        <v>454.37</v>
      </c>
      <c r="G105">
        <v>0.04</v>
      </c>
      <c r="H105" t="s">
        <v>13</v>
      </c>
      <c r="I105" t="s">
        <v>18</v>
      </c>
      <c r="J105">
        <v>908.74</v>
      </c>
      <c r="K105">
        <v>36.349600000000002</v>
      </c>
      <c r="L105">
        <v>872.3904</v>
      </c>
      <c r="M105">
        <v>2022</v>
      </c>
      <c r="N105" t="s">
        <v>47</v>
      </c>
      <c r="O105" t="s">
        <v>47</v>
      </c>
    </row>
    <row r="106" spans="1:15" x14ac:dyDescent="0.3">
      <c r="A106">
        <v>10136</v>
      </c>
      <c r="B106" s="1">
        <v>44697</v>
      </c>
      <c r="C106">
        <v>2037</v>
      </c>
      <c r="D106" t="s">
        <v>16</v>
      </c>
      <c r="E106">
        <v>2</v>
      </c>
      <c r="F106">
        <v>379.74</v>
      </c>
      <c r="G106">
        <v>0.12</v>
      </c>
      <c r="H106" t="s">
        <v>15</v>
      </c>
      <c r="I106" t="s">
        <v>18</v>
      </c>
      <c r="J106">
        <v>759.48</v>
      </c>
      <c r="K106">
        <v>91.137599999999992</v>
      </c>
      <c r="L106">
        <v>668.3424</v>
      </c>
      <c r="M106">
        <v>2022</v>
      </c>
      <c r="N106" t="s">
        <v>47</v>
      </c>
      <c r="O106" t="s">
        <v>48</v>
      </c>
    </row>
    <row r="107" spans="1:15" x14ac:dyDescent="0.3">
      <c r="A107">
        <v>10132</v>
      </c>
      <c r="B107" s="1">
        <v>44693</v>
      </c>
      <c r="C107">
        <v>2048</v>
      </c>
      <c r="D107" t="s">
        <v>16</v>
      </c>
      <c r="E107">
        <v>3</v>
      </c>
      <c r="F107">
        <v>200.79</v>
      </c>
      <c r="G107">
        <v>0.2</v>
      </c>
      <c r="H107" t="s">
        <v>10</v>
      </c>
      <c r="I107" t="s">
        <v>18</v>
      </c>
      <c r="J107">
        <v>602.37</v>
      </c>
      <c r="K107">
        <v>120.474</v>
      </c>
      <c r="L107">
        <v>481.89600000000002</v>
      </c>
      <c r="M107">
        <v>2022</v>
      </c>
      <c r="N107" t="s">
        <v>45</v>
      </c>
      <c r="O107" t="s">
        <v>46</v>
      </c>
    </row>
    <row r="108" spans="1:15" x14ac:dyDescent="0.3">
      <c r="A108">
        <v>10105</v>
      </c>
      <c r="B108" s="1">
        <v>44666</v>
      </c>
      <c r="C108">
        <v>2029</v>
      </c>
      <c r="D108" t="s">
        <v>16</v>
      </c>
      <c r="E108">
        <v>9</v>
      </c>
      <c r="F108">
        <v>105.83</v>
      </c>
      <c r="G108">
        <v>0.14000000000000001</v>
      </c>
      <c r="H108" t="s">
        <v>17</v>
      </c>
      <c r="I108" t="s">
        <v>18</v>
      </c>
      <c r="J108">
        <v>952.47</v>
      </c>
      <c r="K108">
        <v>133.34580000000003</v>
      </c>
      <c r="L108">
        <v>819.12419999999997</v>
      </c>
      <c r="M108">
        <v>2022</v>
      </c>
      <c r="N108" t="s">
        <v>47</v>
      </c>
      <c r="O108" t="s">
        <v>48</v>
      </c>
    </row>
    <row r="109" spans="1:15" x14ac:dyDescent="0.3">
      <c r="A109">
        <v>10131</v>
      </c>
      <c r="B109" s="1">
        <v>44692</v>
      </c>
      <c r="C109">
        <v>2033</v>
      </c>
      <c r="D109" t="s">
        <v>16</v>
      </c>
      <c r="E109">
        <v>9</v>
      </c>
      <c r="F109">
        <v>341.83</v>
      </c>
      <c r="G109">
        <v>7.0000000000000007E-2</v>
      </c>
      <c r="H109" t="s">
        <v>13</v>
      </c>
      <c r="I109" t="s">
        <v>18</v>
      </c>
      <c r="J109">
        <v>3076.47</v>
      </c>
      <c r="K109">
        <v>215.35290000000001</v>
      </c>
      <c r="L109">
        <v>2861.1170999999999</v>
      </c>
      <c r="M109">
        <v>2022</v>
      </c>
      <c r="N109" t="s">
        <v>46</v>
      </c>
      <c r="O109" t="s">
        <v>47</v>
      </c>
    </row>
    <row r="110" spans="1:15" x14ac:dyDescent="0.3">
      <c r="A110">
        <v>10129</v>
      </c>
      <c r="B110" s="1">
        <v>44690</v>
      </c>
      <c r="C110">
        <v>2012</v>
      </c>
      <c r="D110" t="s">
        <v>16</v>
      </c>
      <c r="E110">
        <v>9</v>
      </c>
      <c r="F110">
        <v>79.040000000000006</v>
      </c>
      <c r="G110">
        <v>0.04</v>
      </c>
      <c r="H110" t="s">
        <v>15</v>
      </c>
      <c r="I110" t="s">
        <v>11</v>
      </c>
      <c r="J110">
        <v>711.36</v>
      </c>
      <c r="K110">
        <v>28.4544</v>
      </c>
      <c r="L110">
        <v>682.90560000000005</v>
      </c>
      <c r="M110">
        <v>2022</v>
      </c>
      <c r="N110" t="s">
        <v>47</v>
      </c>
      <c r="O110" t="s">
        <v>47</v>
      </c>
    </row>
    <row r="111" spans="1:15" x14ac:dyDescent="0.3">
      <c r="A111">
        <v>10127</v>
      </c>
      <c r="B111" s="1">
        <v>44688</v>
      </c>
      <c r="C111">
        <v>2073</v>
      </c>
      <c r="D111" t="s">
        <v>16</v>
      </c>
      <c r="E111">
        <v>9</v>
      </c>
      <c r="F111">
        <v>219.46</v>
      </c>
      <c r="G111">
        <v>0.08</v>
      </c>
      <c r="H111" t="s">
        <v>15</v>
      </c>
      <c r="I111" t="s">
        <v>11</v>
      </c>
      <c r="J111">
        <v>1975.14</v>
      </c>
      <c r="K111">
        <v>158.0112</v>
      </c>
      <c r="L111">
        <v>1817.1288000000002</v>
      </c>
      <c r="M111">
        <v>2022</v>
      </c>
      <c r="N111" t="s">
        <v>48</v>
      </c>
      <c r="O111" t="s">
        <v>47</v>
      </c>
    </row>
    <row r="112" spans="1:15" x14ac:dyDescent="0.3">
      <c r="A112">
        <v>10121</v>
      </c>
      <c r="B112" s="1">
        <v>44682</v>
      </c>
      <c r="C112">
        <v>2035</v>
      </c>
      <c r="D112" t="s">
        <v>16</v>
      </c>
      <c r="E112">
        <v>7</v>
      </c>
      <c r="F112">
        <v>281.41000000000003</v>
      </c>
      <c r="G112">
        <v>0.02</v>
      </c>
      <c r="H112" t="s">
        <v>10</v>
      </c>
      <c r="I112" t="s">
        <v>11</v>
      </c>
      <c r="J112">
        <v>1969.8700000000001</v>
      </c>
      <c r="K112">
        <v>39.397400000000005</v>
      </c>
      <c r="L112">
        <v>1930.4726000000001</v>
      </c>
      <c r="M112">
        <v>2022</v>
      </c>
      <c r="N112" t="s">
        <v>48</v>
      </c>
      <c r="O112" t="s">
        <v>47</v>
      </c>
    </row>
    <row r="113" spans="1:15" x14ac:dyDescent="0.3">
      <c r="A113">
        <v>10120</v>
      </c>
      <c r="B113" s="1">
        <v>44681</v>
      </c>
      <c r="C113">
        <v>2035</v>
      </c>
      <c r="D113" t="s">
        <v>16</v>
      </c>
      <c r="E113">
        <v>6</v>
      </c>
      <c r="F113">
        <v>127.53</v>
      </c>
      <c r="G113">
        <v>0.06</v>
      </c>
      <c r="H113" t="s">
        <v>13</v>
      </c>
      <c r="I113" t="s">
        <v>18</v>
      </c>
      <c r="J113">
        <v>765.18000000000006</v>
      </c>
      <c r="K113">
        <v>45.910800000000002</v>
      </c>
      <c r="L113">
        <v>719.26920000000007</v>
      </c>
      <c r="M113">
        <v>2022</v>
      </c>
      <c r="N113" t="s">
        <v>47</v>
      </c>
      <c r="O113" t="s">
        <v>47</v>
      </c>
    </row>
    <row r="114" spans="1:15" x14ac:dyDescent="0.3">
      <c r="A114">
        <v>10111</v>
      </c>
      <c r="B114" s="1">
        <v>44672</v>
      </c>
      <c r="C114">
        <v>2009</v>
      </c>
      <c r="D114" t="s">
        <v>16</v>
      </c>
      <c r="E114">
        <v>7</v>
      </c>
      <c r="F114">
        <v>399.41</v>
      </c>
      <c r="G114">
        <v>0.13</v>
      </c>
      <c r="H114" t="s">
        <v>13</v>
      </c>
      <c r="I114" t="s">
        <v>18</v>
      </c>
      <c r="J114">
        <v>2795.8700000000003</v>
      </c>
      <c r="K114">
        <v>363.46310000000005</v>
      </c>
      <c r="L114">
        <v>2432.4069000000004</v>
      </c>
      <c r="M114">
        <v>2022</v>
      </c>
      <c r="N114" t="s">
        <v>46</v>
      </c>
      <c r="O114" t="s">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DC81-62A3-4A2D-82D6-E0A4CA3AA7A7}">
  <dimension ref="A3:G132"/>
  <sheetViews>
    <sheetView topLeftCell="A49" workbookViewId="0">
      <selection activeCell="C91" sqref="C91"/>
    </sheetView>
  </sheetViews>
  <sheetFormatPr defaultRowHeight="14.4" x14ac:dyDescent="0.3"/>
  <cols>
    <col min="1" max="1" width="13.88671875" bestFit="1" customWidth="1"/>
    <col min="2" max="2" width="15.88671875" bestFit="1" customWidth="1"/>
    <col min="3" max="3" width="14.77734375" bestFit="1" customWidth="1"/>
    <col min="6" max="6" width="13.88671875" bestFit="1" customWidth="1"/>
    <col min="7" max="7" width="15.88671875" bestFit="1" customWidth="1"/>
  </cols>
  <sheetData>
    <row r="3" spans="1:2" x14ac:dyDescent="0.3">
      <c r="A3" s="14" t="s">
        <v>27</v>
      </c>
      <c r="B3" t="s">
        <v>29</v>
      </c>
    </row>
    <row r="4" spans="1:2" x14ac:dyDescent="0.3">
      <c r="A4" s="15" t="s">
        <v>16</v>
      </c>
      <c r="B4" s="13">
        <v>124454.44960000001</v>
      </c>
    </row>
    <row r="5" spans="1:2" x14ac:dyDescent="0.3">
      <c r="A5" s="15" t="s">
        <v>9</v>
      </c>
      <c r="B5" s="13">
        <v>108456.07240000002</v>
      </c>
    </row>
    <row r="6" spans="1:2" x14ac:dyDescent="0.3">
      <c r="A6" s="15" t="s">
        <v>19</v>
      </c>
      <c r="B6" s="13">
        <v>93628.553200000009</v>
      </c>
    </row>
    <row r="7" spans="1:2" x14ac:dyDescent="0.3">
      <c r="A7" s="15" t="s">
        <v>14</v>
      </c>
      <c r="B7" s="13">
        <v>101701.31869999997</v>
      </c>
    </row>
    <row r="8" spans="1:2" x14ac:dyDescent="0.3">
      <c r="A8" s="15" t="s">
        <v>12</v>
      </c>
      <c r="B8" s="13">
        <v>112189.22469999999</v>
      </c>
    </row>
    <row r="9" spans="1:2" x14ac:dyDescent="0.3">
      <c r="A9" s="15" t="s">
        <v>28</v>
      </c>
      <c r="B9" s="13">
        <v>540429.61860000005</v>
      </c>
    </row>
    <row r="16" spans="1:2" x14ac:dyDescent="0.3">
      <c r="A16" s="14" t="s">
        <v>27</v>
      </c>
      <c r="B16" t="s">
        <v>30</v>
      </c>
    </row>
    <row r="17" spans="1:7" x14ac:dyDescent="0.3">
      <c r="A17" s="15" t="s">
        <v>10</v>
      </c>
      <c r="B17" s="38">
        <v>101</v>
      </c>
    </row>
    <row r="18" spans="1:7" x14ac:dyDescent="0.3">
      <c r="A18" s="15" t="s">
        <v>17</v>
      </c>
      <c r="B18" s="38">
        <v>99</v>
      </c>
    </row>
    <row r="19" spans="1:7" x14ac:dyDescent="0.3">
      <c r="A19" s="15" t="s">
        <v>13</v>
      </c>
      <c r="B19" s="38">
        <v>110</v>
      </c>
    </row>
    <row r="20" spans="1:7" x14ac:dyDescent="0.3">
      <c r="A20" s="15" t="s">
        <v>20</v>
      </c>
      <c r="B20" s="38">
        <v>84</v>
      </c>
    </row>
    <row r="21" spans="1:7" x14ac:dyDescent="0.3">
      <c r="A21" s="15" t="s">
        <v>15</v>
      </c>
      <c r="B21" s="38">
        <v>106</v>
      </c>
    </row>
    <row r="22" spans="1:7" x14ac:dyDescent="0.3">
      <c r="A22" s="15" t="s">
        <v>28</v>
      </c>
      <c r="B22" s="38">
        <v>500</v>
      </c>
    </row>
    <row r="27" spans="1:7" x14ac:dyDescent="0.3">
      <c r="F27" s="14" t="s">
        <v>27</v>
      </c>
      <c r="G27" t="s">
        <v>29</v>
      </c>
    </row>
    <row r="28" spans="1:7" x14ac:dyDescent="0.3">
      <c r="F28" s="15" t="s">
        <v>16</v>
      </c>
      <c r="G28" s="13">
        <v>124454.44960000001</v>
      </c>
    </row>
    <row r="29" spans="1:7" x14ac:dyDescent="0.3">
      <c r="F29" s="15" t="s">
        <v>9</v>
      </c>
      <c r="G29" s="13">
        <v>108456.07240000002</v>
      </c>
    </row>
    <row r="30" spans="1:7" x14ac:dyDescent="0.3">
      <c r="F30" s="15" t="s">
        <v>19</v>
      </c>
      <c r="G30" s="13">
        <v>93628.553200000009</v>
      </c>
    </row>
    <row r="31" spans="1:7" x14ac:dyDescent="0.3">
      <c r="F31" s="15" t="s">
        <v>14</v>
      </c>
      <c r="G31" s="13">
        <v>101701.31869999997</v>
      </c>
    </row>
    <row r="32" spans="1:7" x14ac:dyDescent="0.3">
      <c r="A32" s="14" t="s">
        <v>27</v>
      </c>
      <c r="B32" t="s">
        <v>29</v>
      </c>
      <c r="F32" s="15" t="s">
        <v>12</v>
      </c>
      <c r="G32" s="13">
        <v>112189.22469999999</v>
      </c>
    </row>
    <row r="33" spans="1:7" x14ac:dyDescent="0.3">
      <c r="A33" s="15" t="s">
        <v>33</v>
      </c>
      <c r="B33" s="13">
        <v>74477.156900000002</v>
      </c>
      <c r="F33" s="15" t="s">
        <v>28</v>
      </c>
      <c r="G33" s="13">
        <v>540429.61860000005</v>
      </c>
    </row>
    <row r="34" spans="1:7" x14ac:dyDescent="0.3">
      <c r="A34" s="15" t="s">
        <v>34</v>
      </c>
      <c r="B34" s="13">
        <v>49684.8033</v>
      </c>
    </row>
    <row r="35" spans="1:7" x14ac:dyDescent="0.3">
      <c r="A35" s="15" t="s">
        <v>35</v>
      </c>
      <c r="B35" s="13">
        <v>74526.039500000014</v>
      </c>
    </row>
    <row r="36" spans="1:7" x14ac:dyDescent="0.3">
      <c r="A36" s="15" t="s">
        <v>36</v>
      </c>
      <c r="B36" s="13">
        <v>67092.231700000018</v>
      </c>
    </row>
    <row r="37" spans="1:7" x14ac:dyDescent="0.3">
      <c r="A37" s="15" t="s">
        <v>37</v>
      </c>
      <c r="B37" s="13">
        <v>55618.138800000001</v>
      </c>
    </row>
    <row r="38" spans="1:7" x14ac:dyDescent="0.3">
      <c r="A38" s="15" t="s">
        <v>38</v>
      </c>
      <c r="B38" s="13">
        <v>30396.041400000002</v>
      </c>
    </row>
    <row r="39" spans="1:7" x14ac:dyDescent="0.3">
      <c r="A39" s="15" t="s">
        <v>39</v>
      </c>
      <c r="B39" s="13">
        <v>29621.342700000001</v>
      </c>
    </row>
    <row r="40" spans="1:7" x14ac:dyDescent="0.3">
      <c r="A40" s="15" t="s">
        <v>40</v>
      </c>
      <c r="B40" s="13">
        <v>29206.604799999994</v>
      </c>
    </row>
    <row r="41" spans="1:7" x14ac:dyDescent="0.3">
      <c r="A41" s="15" t="s">
        <v>41</v>
      </c>
      <c r="B41" s="13">
        <v>30729.924300000002</v>
      </c>
    </row>
    <row r="42" spans="1:7" x14ac:dyDescent="0.3">
      <c r="A42" s="15" t="s">
        <v>42</v>
      </c>
      <c r="B42" s="13">
        <v>29089.718099999998</v>
      </c>
    </row>
    <row r="43" spans="1:7" x14ac:dyDescent="0.3">
      <c r="A43" s="15" t="s">
        <v>43</v>
      </c>
      <c r="B43" s="13">
        <v>34447.747200000005</v>
      </c>
    </row>
    <row r="44" spans="1:7" x14ac:dyDescent="0.3">
      <c r="A44" s="15" t="s">
        <v>44</v>
      </c>
      <c r="B44" s="13">
        <v>35539.869899999998</v>
      </c>
    </row>
    <row r="45" spans="1:7" x14ac:dyDescent="0.3">
      <c r="A45" s="15" t="s">
        <v>28</v>
      </c>
      <c r="B45" s="13">
        <v>540429.61860000005</v>
      </c>
    </row>
    <row r="46" spans="1:7" x14ac:dyDescent="0.3">
      <c r="A46" s="14" t="s">
        <v>27</v>
      </c>
      <c r="B46" t="s">
        <v>29</v>
      </c>
    </row>
    <row r="47" spans="1:7" x14ac:dyDescent="0.3">
      <c r="A47" s="15" t="s">
        <v>31</v>
      </c>
      <c r="B47" s="13">
        <v>395418.91149999993</v>
      </c>
    </row>
    <row r="48" spans="1:7" x14ac:dyDescent="0.3">
      <c r="A48" s="15" t="s">
        <v>32</v>
      </c>
      <c r="B48" s="13">
        <v>145010.70710000003</v>
      </c>
    </row>
    <row r="49" spans="1:2" x14ac:dyDescent="0.3">
      <c r="A49" s="15" t="s">
        <v>28</v>
      </c>
      <c r="B49" s="13">
        <v>540429.61859999993</v>
      </c>
    </row>
    <row r="60" spans="1:2" x14ac:dyDescent="0.3">
      <c r="A60" s="14" t="s">
        <v>27</v>
      </c>
      <c r="B60" t="s">
        <v>29</v>
      </c>
    </row>
    <row r="61" spans="1:2" x14ac:dyDescent="0.3">
      <c r="A61" s="15" t="s">
        <v>45</v>
      </c>
      <c r="B61" s="13">
        <v>42913.319899999988</v>
      </c>
    </row>
    <row r="62" spans="1:2" x14ac:dyDescent="0.3">
      <c r="A62" s="15" t="s">
        <v>46</v>
      </c>
      <c r="B62" s="13">
        <v>148508.11160000003</v>
      </c>
    </row>
    <row r="63" spans="1:2" x14ac:dyDescent="0.3">
      <c r="A63" s="15" t="s">
        <v>47</v>
      </c>
      <c r="B63" s="13">
        <v>79832.210400000011</v>
      </c>
    </row>
    <row r="64" spans="1:2" x14ac:dyDescent="0.3">
      <c r="A64" s="15" t="s">
        <v>48</v>
      </c>
      <c r="B64" s="13">
        <v>208823.24040000004</v>
      </c>
    </row>
    <row r="65" spans="1:3" x14ac:dyDescent="0.3">
      <c r="A65" s="15" t="s">
        <v>49</v>
      </c>
      <c r="B65" s="13">
        <v>60352.736299999997</v>
      </c>
    </row>
    <row r="66" spans="1:3" x14ac:dyDescent="0.3">
      <c r="A66" s="15" t="s">
        <v>28</v>
      </c>
      <c r="B66" s="13">
        <v>540429.61860000005</v>
      </c>
    </row>
    <row r="76" spans="1:3" x14ac:dyDescent="0.3">
      <c r="A76" s="14" t="s">
        <v>27</v>
      </c>
      <c r="B76" t="s">
        <v>29</v>
      </c>
      <c r="C76" t="s">
        <v>30</v>
      </c>
    </row>
    <row r="77" spans="1:3" x14ac:dyDescent="0.3">
      <c r="A77" s="15" t="s">
        <v>11</v>
      </c>
      <c r="B77" s="13">
        <v>242770.14090000006</v>
      </c>
      <c r="C77" s="38">
        <v>235</v>
      </c>
    </row>
    <row r="78" spans="1:3" x14ac:dyDescent="0.3">
      <c r="A78" s="15" t="s">
        <v>18</v>
      </c>
      <c r="B78" s="13">
        <v>297659.47770000022</v>
      </c>
      <c r="C78" s="38">
        <v>265</v>
      </c>
    </row>
    <row r="79" spans="1:3" x14ac:dyDescent="0.3">
      <c r="A79" s="15" t="s">
        <v>28</v>
      </c>
      <c r="B79" s="13">
        <v>540429.61860000039</v>
      </c>
      <c r="C79" s="38">
        <v>500</v>
      </c>
    </row>
    <row r="90" spans="1:3" x14ac:dyDescent="0.3">
      <c r="A90" s="14" t="s">
        <v>27</v>
      </c>
      <c r="B90" t="s">
        <v>29</v>
      </c>
      <c r="C90" t="s">
        <v>30</v>
      </c>
    </row>
    <row r="91" spans="1:3" x14ac:dyDescent="0.3">
      <c r="A91" s="15" t="s">
        <v>16</v>
      </c>
      <c r="B91" s="13">
        <v>124454.44960000001</v>
      </c>
      <c r="C91" s="38">
        <v>111</v>
      </c>
    </row>
    <row r="92" spans="1:3" x14ac:dyDescent="0.3">
      <c r="A92" s="15" t="s">
        <v>9</v>
      </c>
      <c r="B92" s="13">
        <v>108456.07240000002</v>
      </c>
      <c r="C92" s="38">
        <v>95</v>
      </c>
    </row>
    <row r="93" spans="1:3" x14ac:dyDescent="0.3">
      <c r="A93" s="15" t="s">
        <v>19</v>
      </c>
      <c r="B93" s="13">
        <v>93628.553200000009</v>
      </c>
      <c r="C93" s="38">
        <v>103</v>
      </c>
    </row>
    <row r="94" spans="1:3" x14ac:dyDescent="0.3">
      <c r="A94" s="15" t="s">
        <v>14</v>
      </c>
      <c r="B94" s="13">
        <v>101701.31869999997</v>
      </c>
      <c r="C94" s="38">
        <v>89</v>
      </c>
    </row>
    <row r="95" spans="1:3" x14ac:dyDescent="0.3">
      <c r="A95" s="15" t="s">
        <v>12</v>
      </c>
      <c r="B95" s="13">
        <v>112189.22469999999</v>
      </c>
      <c r="C95" s="38">
        <v>102</v>
      </c>
    </row>
    <row r="96" spans="1:3" x14ac:dyDescent="0.3">
      <c r="A96" s="15" t="s">
        <v>28</v>
      </c>
      <c r="B96" s="13">
        <v>540429.61860000016</v>
      </c>
      <c r="C96" s="38">
        <v>500</v>
      </c>
    </row>
    <row r="107" spans="1:3" x14ac:dyDescent="0.3">
      <c r="A107" s="14" t="s">
        <v>27</v>
      </c>
      <c r="B107" t="s">
        <v>29</v>
      </c>
      <c r="C107" t="s">
        <v>30</v>
      </c>
    </row>
    <row r="108" spans="1:3" x14ac:dyDescent="0.3">
      <c r="A108" s="15" t="s">
        <v>16</v>
      </c>
      <c r="B108" s="13">
        <v>124454.44960000001</v>
      </c>
      <c r="C108" s="38">
        <v>111</v>
      </c>
    </row>
    <row r="109" spans="1:3" x14ac:dyDescent="0.3">
      <c r="A109" s="15" t="s">
        <v>9</v>
      </c>
      <c r="B109" s="13">
        <v>108456.07240000002</v>
      </c>
      <c r="C109" s="38">
        <v>95</v>
      </c>
    </row>
    <row r="110" spans="1:3" x14ac:dyDescent="0.3">
      <c r="A110" s="15" t="s">
        <v>19</v>
      </c>
      <c r="B110" s="13">
        <v>93628.553200000009</v>
      </c>
      <c r="C110" s="38">
        <v>103</v>
      </c>
    </row>
    <row r="111" spans="1:3" x14ac:dyDescent="0.3">
      <c r="A111" s="15" t="s">
        <v>14</v>
      </c>
      <c r="B111" s="13">
        <v>101701.31869999997</v>
      </c>
      <c r="C111" s="38">
        <v>89</v>
      </c>
    </row>
    <row r="112" spans="1:3" x14ac:dyDescent="0.3">
      <c r="A112" s="15" t="s">
        <v>12</v>
      </c>
      <c r="B112" s="13">
        <v>112189.22469999999</v>
      </c>
      <c r="C112" s="38">
        <v>102</v>
      </c>
    </row>
    <row r="113" spans="1:3" x14ac:dyDescent="0.3">
      <c r="A113" s="15" t="s">
        <v>28</v>
      </c>
      <c r="B113" s="13">
        <v>540429.61860000016</v>
      </c>
      <c r="C113" s="38">
        <v>500</v>
      </c>
    </row>
    <row r="126" spans="1:3" x14ac:dyDescent="0.3">
      <c r="A126" s="14" t="s">
        <v>27</v>
      </c>
      <c r="B126" t="s">
        <v>29</v>
      </c>
      <c r="C126" t="s">
        <v>30</v>
      </c>
    </row>
    <row r="127" spans="1:3" x14ac:dyDescent="0.3">
      <c r="A127" s="15" t="s">
        <v>16</v>
      </c>
      <c r="B127" s="13">
        <v>124454.44960000001</v>
      </c>
      <c r="C127" s="38">
        <v>111</v>
      </c>
    </row>
    <row r="128" spans="1:3" x14ac:dyDescent="0.3">
      <c r="A128" s="15" t="s">
        <v>9</v>
      </c>
      <c r="B128" s="13">
        <v>108456.07240000002</v>
      </c>
      <c r="C128" s="38">
        <v>95</v>
      </c>
    </row>
    <row r="129" spans="1:3" x14ac:dyDescent="0.3">
      <c r="A129" s="15" t="s">
        <v>19</v>
      </c>
      <c r="B129" s="13">
        <v>93628.553200000009</v>
      </c>
      <c r="C129" s="38">
        <v>103</v>
      </c>
    </row>
    <row r="130" spans="1:3" x14ac:dyDescent="0.3">
      <c r="A130" s="15" t="s">
        <v>14</v>
      </c>
      <c r="B130" s="13">
        <v>101701.31869999997</v>
      </c>
      <c r="C130" s="38">
        <v>89</v>
      </c>
    </row>
    <row r="131" spans="1:3" x14ac:dyDescent="0.3">
      <c r="A131" s="15" t="s">
        <v>12</v>
      </c>
      <c r="B131" s="13">
        <v>112189.22469999999</v>
      </c>
      <c r="C131" s="38">
        <v>102</v>
      </c>
    </row>
    <row r="132" spans="1:3" x14ac:dyDescent="0.3">
      <c r="A132" s="15" t="s">
        <v>28</v>
      </c>
      <c r="B132" s="13">
        <v>540429.61860000016</v>
      </c>
      <c r="C132" s="38">
        <v>500</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1737E-3A39-47FB-BFAF-5910E25C5E75}">
  <dimension ref="A1:BT411"/>
  <sheetViews>
    <sheetView workbookViewId="0">
      <selection sqref="A1:Q31"/>
    </sheetView>
  </sheetViews>
  <sheetFormatPr defaultRowHeight="14.4" x14ac:dyDescent="0.3"/>
  <sheetData>
    <row r="1" spans="1:72" x14ac:dyDescent="0.3">
      <c r="A1" s="20" t="e" cm="1">
        <f t="array" ref="A1">A1:O26dg</f>
        <v>#NAME?</v>
      </c>
      <c r="B1" s="21"/>
      <c r="C1" s="21"/>
      <c r="D1" s="21"/>
      <c r="E1" s="21"/>
      <c r="F1" s="21"/>
      <c r="G1" s="21"/>
      <c r="H1" s="21"/>
      <c r="I1" s="21"/>
      <c r="J1" s="21"/>
      <c r="K1" s="21"/>
      <c r="L1" s="21"/>
      <c r="M1" s="21"/>
      <c r="N1" s="21"/>
      <c r="O1" s="21"/>
      <c r="P1" s="21"/>
      <c r="Q1" s="21"/>
      <c r="R1" s="21"/>
      <c r="S1" s="21"/>
      <c r="T1" s="21"/>
      <c r="U1" s="21"/>
      <c r="V1" s="21"/>
      <c r="W1" s="21"/>
      <c r="X1" s="16"/>
      <c r="Y1" s="16"/>
      <c r="Z1" s="16"/>
      <c r="AA1" s="16"/>
      <c r="AB1" s="16"/>
      <c r="AC1" s="16"/>
      <c r="AD1" s="16"/>
      <c r="AE1" s="16"/>
      <c r="AF1" s="16"/>
      <c r="AG1" s="16"/>
      <c r="AH1" s="16"/>
      <c r="AI1" s="16"/>
      <c r="AJ1" s="16"/>
      <c r="BK1" s="16"/>
      <c r="BL1" s="16"/>
      <c r="BM1" s="16"/>
      <c r="BN1" s="16"/>
      <c r="BO1" s="16"/>
      <c r="BP1" s="16"/>
      <c r="BQ1" s="16"/>
      <c r="BR1" s="16"/>
      <c r="BS1" s="16"/>
      <c r="BT1" s="16"/>
    </row>
    <row r="2" spans="1:72" x14ac:dyDescent="0.3">
      <c r="A2" s="21"/>
      <c r="B2" s="21"/>
      <c r="C2" s="21"/>
      <c r="D2" s="21"/>
      <c r="E2" s="21"/>
      <c r="F2" s="21"/>
      <c r="G2" s="21"/>
      <c r="H2" s="21"/>
      <c r="I2" s="21"/>
      <c r="J2" s="21"/>
      <c r="K2" s="21"/>
      <c r="L2" s="21"/>
      <c r="M2" s="21"/>
      <c r="N2" s="21"/>
      <c r="O2" s="21"/>
      <c r="P2" s="21"/>
      <c r="Q2" s="21"/>
      <c r="R2" s="21"/>
      <c r="S2" s="21"/>
      <c r="T2" s="21"/>
      <c r="U2" s="21"/>
      <c r="V2" s="21"/>
      <c r="W2" s="21"/>
      <c r="X2" s="19"/>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row>
    <row r="3" spans="1:72" x14ac:dyDescent="0.3">
      <c r="A3" s="21"/>
      <c r="B3" s="21"/>
      <c r="C3" s="21"/>
      <c r="D3" s="21"/>
      <c r="E3" s="21"/>
      <c r="F3" s="21"/>
      <c r="G3" s="21"/>
      <c r="H3" s="21"/>
      <c r="I3" s="21"/>
      <c r="J3" s="21"/>
      <c r="K3" s="21"/>
      <c r="L3" s="21"/>
      <c r="M3" s="21"/>
      <c r="N3" s="21"/>
      <c r="O3" s="21"/>
      <c r="P3" s="21"/>
      <c r="Q3" s="21"/>
      <c r="R3" s="21"/>
      <c r="S3" s="21"/>
      <c r="T3" s="21"/>
      <c r="U3" s="21"/>
      <c r="V3" s="21"/>
      <c r="W3" s="21"/>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row>
    <row r="4" spans="1:72" x14ac:dyDescent="0.3">
      <c r="A4" s="21"/>
      <c r="B4" s="21"/>
      <c r="C4" s="21"/>
      <c r="D4" s="21"/>
      <c r="E4" s="21"/>
      <c r="F4" s="21"/>
      <c r="G4" s="21"/>
      <c r="H4" s="21"/>
      <c r="I4" s="21"/>
      <c r="J4" s="21"/>
      <c r="K4" s="21"/>
      <c r="L4" s="21"/>
      <c r="M4" s="21"/>
      <c r="N4" s="21"/>
      <c r="O4" s="21"/>
      <c r="P4" s="21"/>
      <c r="Q4" s="21"/>
      <c r="R4" s="21"/>
      <c r="S4" s="21"/>
      <c r="T4" s="21"/>
      <c r="U4" s="21"/>
      <c r="V4" s="21"/>
      <c r="W4" s="21"/>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row>
    <row r="5" spans="1:72" x14ac:dyDescent="0.3">
      <c r="A5" s="21"/>
      <c r="B5" s="21"/>
      <c r="C5" s="21"/>
      <c r="D5" s="21"/>
      <c r="E5" s="21"/>
      <c r="F5" s="21"/>
      <c r="G5" s="21"/>
      <c r="H5" s="21"/>
      <c r="I5" s="21"/>
      <c r="J5" s="21"/>
      <c r="K5" s="21"/>
      <c r="L5" s="21"/>
      <c r="M5" s="21"/>
      <c r="N5" s="21"/>
      <c r="O5" s="21"/>
      <c r="P5" s="21"/>
      <c r="Q5" s="21"/>
      <c r="R5" s="21"/>
      <c r="S5" s="21"/>
      <c r="T5" s="21"/>
      <c r="U5" s="21"/>
      <c r="V5" s="21"/>
      <c r="W5" s="21"/>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row>
    <row r="6" spans="1:72" x14ac:dyDescent="0.3">
      <c r="A6" s="21"/>
      <c r="B6" s="21"/>
      <c r="C6" s="21"/>
      <c r="D6" s="21"/>
      <c r="E6" s="21"/>
      <c r="F6" s="21"/>
      <c r="G6" s="21"/>
      <c r="H6" s="21"/>
      <c r="I6" s="21"/>
      <c r="J6" s="21"/>
      <c r="K6" s="21"/>
      <c r="L6" s="21"/>
      <c r="M6" s="21"/>
      <c r="N6" s="21"/>
      <c r="O6" s="21"/>
      <c r="P6" s="21"/>
      <c r="Q6" s="21"/>
      <c r="R6" s="21"/>
      <c r="S6" s="21"/>
      <c r="T6" s="21"/>
      <c r="U6" s="21"/>
      <c r="V6" s="21"/>
      <c r="W6" s="21"/>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72" x14ac:dyDescent="0.3">
      <c r="A7" s="21"/>
      <c r="B7" s="21"/>
      <c r="C7" s="21"/>
      <c r="D7" s="21"/>
      <c r="E7" s="21"/>
      <c r="F7" s="21"/>
      <c r="G7" s="21"/>
      <c r="H7" s="21"/>
      <c r="I7" s="21"/>
      <c r="J7" s="21"/>
      <c r="K7" s="21"/>
      <c r="L7" s="21"/>
      <c r="M7" s="21"/>
      <c r="N7" s="21"/>
      <c r="O7" s="21"/>
      <c r="P7" s="21"/>
      <c r="Q7" s="21"/>
      <c r="R7" s="21"/>
      <c r="S7" s="21"/>
      <c r="T7" s="21"/>
      <c r="U7" s="21"/>
      <c r="V7" s="21"/>
      <c r="W7" s="21"/>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row>
    <row r="8" spans="1:72" x14ac:dyDescent="0.3">
      <c r="A8" s="21"/>
      <c r="B8" s="21"/>
      <c r="C8" s="21"/>
      <c r="D8" s="21"/>
      <c r="E8" s="21"/>
      <c r="F8" s="21"/>
      <c r="G8" s="21"/>
      <c r="H8" s="21"/>
      <c r="I8" s="21"/>
      <c r="J8" s="21"/>
      <c r="K8" s="21"/>
      <c r="L8" s="21"/>
      <c r="M8" s="21"/>
      <c r="N8" s="21"/>
      <c r="O8" s="21"/>
      <c r="P8" s="21"/>
      <c r="Q8" s="21"/>
      <c r="R8" s="21"/>
      <c r="S8" s="21"/>
      <c r="T8" s="21"/>
      <c r="U8" s="21"/>
      <c r="V8" s="21"/>
      <c r="W8" s="21"/>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row>
    <row r="9" spans="1:72" x14ac:dyDescent="0.3">
      <c r="A9" s="21"/>
      <c r="B9" s="21"/>
      <c r="C9" s="21"/>
      <c r="D9" s="21"/>
      <c r="E9" s="21"/>
      <c r="F9" s="21"/>
      <c r="G9" s="21"/>
      <c r="H9" s="21"/>
      <c r="I9" s="21"/>
      <c r="J9" s="21"/>
      <c r="K9" s="21"/>
      <c r="L9" s="21"/>
      <c r="M9" s="21"/>
      <c r="N9" s="21"/>
      <c r="O9" s="21"/>
      <c r="P9" s="21"/>
      <c r="Q9" s="21"/>
      <c r="R9" s="21"/>
      <c r="S9" s="21"/>
      <c r="T9" s="21"/>
      <c r="U9" s="21"/>
      <c r="V9" s="21"/>
      <c r="W9" s="21"/>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row>
    <row r="10" spans="1:72" x14ac:dyDescent="0.3">
      <c r="A10" s="21"/>
      <c r="B10" s="21"/>
      <c r="C10" s="21"/>
      <c r="D10" s="21"/>
      <c r="E10" s="21"/>
      <c r="F10" s="21"/>
      <c r="G10" s="21"/>
      <c r="H10" s="21"/>
      <c r="I10" s="21"/>
      <c r="J10" s="21"/>
      <c r="K10" s="21"/>
      <c r="L10" s="21"/>
      <c r="M10" s="21"/>
      <c r="N10" s="21"/>
      <c r="O10" s="21"/>
      <c r="P10" s="21"/>
      <c r="Q10" s="21"/>
      <c r="R10" s="21"/>
      <c r="S10" s="21"/>
      <c r="T10" s="21"/>
      <c r="U10" s="21"/>
      <c r="V10" s="21"/>
      <c r="W10" s="21"/>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72" x14ac:dyDescent="0.3">
      <c r="A11" s="21"/>
      <c r="B11" s="21"/>
      <c r="C11" s="21"/>
      <c r="D11" s="21"/>
      <c r="E11" s="21"/>
      <c r="F11" s="21"/>
      <c r="G11" s="21"/>
      <c r="H11" s="21"/>
      <c r="I11" s="21"/>
      <c r="J11" s="21"/>
      <c r="K11" s="21"/>
      <c r="L11" s="21"/>
      <c r="M11" s="21"/>
      <c r="N11" s="21"/>
      <c r="O11" s="21"/>
      <c r="P11" s="21"/>
      <c r="Q11" s="21"/>
      <c r="R11" s="21"/>
      <c r="S11" s="21"/>
      <c r="T11" s="21"/>
      <c r="U11" s="21"/>
      <c r="V11" s="21"/>
      <c r="W11" s="21"/>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72" x14ac:dyDescent="0.3">
      <c r="A12" s="21"/>
      <c r="B12" s="21"/>
      <c r="C12" s="21"/>
      <c r="D12" s="21"/>
      <c r="E12" s="21"/>
      <c r="F12" s="21"/>
      <c r="G12" s="21"/>
      <c r="H12" s="21"/>
      <c r="I12" s="21"/>
      <c r="J12" s="21"/>
      <c r="K12" s="21"/>
      <c r="L12" s="21"/>
      <c r="M12" s="21"/>
      <c r="N12" s="21"/>
      <c r="O12" s="21"/>
      <c r="P12" s="21"/>
      <c r="Q12" s="21"/>
      <c r="R12" s="21"/>
      <c r="S12" s="21"/>
      <c r="T12" s="21"/>
      <c r="U12" s="21"/>
      <c r="V12" s="21"/>
      <c r="W12" s="21"/>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row>
    <row r="13" spans="1:72" x14ac:dyDescent="0.3">
      <c r="A13" s="21"/>
      <c r="B13" s="21"/>
      <c r="C13" s="21"/>
      <c r="D13" s="21"/>
      <c r="E13" s="21"/>
      <c r="F13" s="21"/>
      <c r="G13" s="21"/>
      <c r="H13" s="21"/>
      <c r="I13" s="21"/>
      <c r="J13" s="21"/>
      <c r="K13" s="21"/>
      <c r="L13" s="21"/>
      <c r="M13" s="21"/>
      <c r="N13" s="21"/>
      <c r="O13" s="21"/>
      <c r="P13" s="21"/>
      <c r="Q13" s="21"/>
      <c r="R13" s="21"/>
      <c r="S13" s="21"/>
      <c r="T13" s="21"/>
      <c r="U13" s="21"/>
      <c r="V13" s="21"/>
      <c r="W13" s="21"/>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row>
    <row r="14" spans="1:72" x14ac:dyDescent="0.3">
      <c r="A14" s="21"/>
      <c r="B14" s="21"/>
      <c r="C14" s="21"/>
      <c r="D14" s="21"/>
      <c r="E14" s="21"/>
      <c r="F14" s="21"/>
      <c r="G14" s="21"/>
      <c r="H14" s="21"/>
      <c r="I14" s="21"/>
      <c r="J14" s="21"/>
      <c r="K14" s="21"/>
      <c r="L14" s="21"/>
      <c r="M14" s="21"/>
      <c r="N14" s="21"/>
      <c r="O14" s="21"/>
      <c r="P14" s="21"/>
      <c r="Q14" s="21"/>
      <c r="R14" s="21"/>
      <c r="S14" s="21"/>
      <c r="T14" s="21"/>
      <c r="U14" s="21"/>
      <c r="V14" s="21"/>
      <c r="W14" s="21"/>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row>
    <row r="15" spans="1:72" x14ac:dyDescent="0.3">
      <c r="A15" s="21"/>
      <c r="B15" s="21"/>
      <c r="C15" s="21"/>
      <c r="D15" s="21"/>
      <c r="E15" s="21"/>
      <c r="F15" s="21"/>
      <c r="G15" s="21"/>
      <c r="H15" s="21"/>
      <c r="I15" s="21"/>
      <c r="J15" s="21"/>
      <c r="K15" s="21"/>
      <c r="L15" s="21"/>
      <c r="M15" s="21"/>
      <c r="N15" s="21"/>
      <c r="O15" s="21"/>
      <c r="P15" s="21"/>
      <c r="Q15" s="21"/>
      <c r="R15" s="21"/>
      <c r="S15" s="21"/>
      <c r="T15" s="21"/>
      <c r="U15" s="21"/>
      <c r="V15" s="21"/>
      <c r="W15" s="21"/>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spans="1:72" x14ac:dyDescent="0.3">
      <c r="A16" s="21"/>
      <c r="B16" s="21"/>
      <c r="C16" s="21"/>
      <c r="D16" s="21"/>
      <c r="E16" s="21"/>
      <c r="F16" s="21"/>
      <c r="G16" s="21"/>
      <c r="H16" s="21"/>
      <c r="I16" s="21"/>
      <c r="J16" s="21"/>
      <c r="K16" s="21"/>
      <c r="L16" s="21"/>
      <c r="M16" s="21"/>
      <c r="N16" s="21"/>
      <c r="O16" s="21"/>
      <c r="P16" s="21"/>
      <c r="Q16" s="21"/>
      <c r="R16" s="21"/>
      <c r="S16" s="21"/>
      <c r="T16" s="21"/>
      <c r="U16" s="21"/>
      <c r="V16" s="21"/>
      <c r="W16" s="21"/>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row>
    <row r="17" spans="1:72" x14ac:dyDescent="0.3">
      <c r="A17" s="21"/>
      <c r="B17" s="21"/>
      <c r="C17" s="21"/>
      <c r="D17" s="21"/>
      <c r="E17" s="21"/>
      <c r="F17" s="21"/>
      <c r="G17" s="21"/>
      <c r="H17" s="21"/>
      <c r="I17" s="21"/>
      <c r="J17" s="21"/>
      <c r="K17" s="21"/>
      <c r="L17" s="21"/>
      <c r="M17" s="21"/>
      <c r="N17" s="21"/>
      <c r="O17" s="21"/>
      <c r="P17" s="21"/>
      <c r="Q17" s="21"/>
      <c r="R17" s="21"/>
      <c r="S17" s="21"/>
      <c r="T17" s="21"/>
      <c r="U17" s="21"/>
      <c r="V17" s="21"/>
      <c r="W17" s="21"/>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row>
    <row r="18" spans="1:72" x14ac:dyDescent="0.3">
      <c r="A18" s="21"/>
      <c r="B18" s="21"/>
      <c r="C18" s="21"/>
      <c r="D18" s="21"/>
      <c r="E18" s="21"/>
      <c r="F18" s="21"/>
      <c r="G18" s="21"/>
      <c r="H18" s="21"/>
      <c r="I18" s="21"/>
      <c r="J18" s="21"/>
      <c r="K18" s="21"/>
      <c r="L18" s="21"/>
      <c r="M18" s="21"/>
      <c r="N18" s="21"/>
      <c r="O18" s="21"/>
      <c r="P18" s="21"/>
      <c r="Q18" s="21"/>
      <c r="R18" s="21"/>
      <c r="S18" s="21"/>
      <c r="T18" s="21"/>
      <c r="U18" s="21"/>
      <c r="V18" s="21"/>
      <c r="W18" s="21"/>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row>
    <row r="19" spans="1:72" x14ac:dyDescent="0.3">
      <c r="A19" s="21"/>
      <c r="B19" s="21"/>
      <c r="C19" s="21"/>
      <c r="D19" s="21"/>
      <c r="E19" s="21"/>
      <c r="F19" s="21"/>
      <c r="G19" s="21"/>
      <c r="H19" s="21"/>
      <c r="I19" s="21"/>
      <c r="J19" s="21"/>
      <c r="K19" s="21"/>
      <c r="L19" s="21"/>
      <c r="M19" s="21"/>
      <c r="N19" s="21"/>
      <c r="O19" s="21"/>
      <c r="P19" s="21"/>
      <c r="Q19" s="21"/>
      <c r="R19" s="21"/>
      <c r="S19" s="21"/>
      <c r="T19" s="21"/>
      <c r="U19" s="21"/>
      <c r="V19" s="21"/>
      <c r="W19" s="21"/>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row>
    <row r="20" spans="1:72" x14ac:dyDescent="0.3">
      <c r="A20" s="21"/>
      <c r="B20" s="21"/>
      <c r="C20" s="21"/>
      <c r="D20" s="21"/>
      <c r="E20" s="21"/>
      <c r="F20" s="21"/>
      <c r="G20" s="21"/>
      <c r="H20" s="21"/>
      <c r="I20" s="21"/>
      <c r="J20" s="21"/>
      <c r="K20" s="21"/>
      <c r="L20" s="21"/>
      <c r="M20" s="21"/>
      <c r="N20" s="21"/>
      <c r="O20" s="21"/>
      <c r="P20" s="21"/>
      <c r="Q20" s="21"/>
      <c r="R20" s="21"/>
      <c r="S20" s="21"/>
      <c r="T20" s="21"/>
      <c r="U20" s="21"/>
      <c r="V20" s="21"/>
      <c r="W20" s="21"/>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row>
    <row r="21" spans="1:72" x14ac:dyDescent="0.3">
      <c r="A21" s="21"/>
      <c r="B21" s="21"/>
      <c r="C21" s="21"/>
      <c r="D21" s="21"/>
      <c r="E21" s="21"/>
      <c r="F21" s="21"/>
      <c r="G21" s="21"/>
      <c r="H21" s="21"/>
      <c r="I21" s="21"/>
      <c r="J21" s="21"/>
      <c r="K21" s="21"/>
      <c r="L21" s="21"/>
      <c r="M21" s="21"/>
      <c r="N21" s="21"/>
      <c r="O21" s="21"/>
      <c r="P21" s="21"/>
      <c r="Q21" s="21"/>
      <c r="R21" s="21"/>
      <c r="S21" s="21"/>
      <c r="T21" s="21"/>
      <c r="U21" s="21"/>
      <c r="V21" s="21"/>
      <c r="W21" s="21"/>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row>
    <row r="22" spans="1:72" x14ac:dyDescent="0.3">
      <c r="A22" s="21"/>
      <c r="B22" s="21"/>
      <c r="C22" s="21"/>
      <c r="D22" s="21"/>
      <c r="E22" s="21"/>
      <c r="F22" s="21"/>
      <c r="G22" s="21"/>
      <c r="H22" s="21"/>
      <c r="I22" s="21"/>
      <c r="J22" s="21"/>
      <c r="K22" s="21"/>
      <c r="L22" s="22"/>
      <c r="M22" s="21"/>
      <c r="N22" s="21"/>
      <c r="O22" s="21"/>
      <c r="P22" s="21"/>
      <c r="Q22" s="21"/>
      <c r="R22" s="21"/>
      <c r="S22" s="21"/>
      <c r="T22" s="21"/>
      <c r="U22" s="21"/>
      <c r="V22" s="21"/>
      <c r="W22" s="21"/>
      <c r="X22" s="17"/>
      <c r="Y22" s="17"/>
      <c r="Z22" s="17"/>
      <c r="AA22" s="17"/>
      <c r="AB22" s="17"/>
      <c r="AC22" s="17"/>
      <c r="AD22" s="17"/>
      <c r="AE22" s="17"/>
      <c r="AF22" s="17"/>
      <c r="AG22" s="17"/>
      <c r="AH22" s="17"/>
      <c r="AI22" s="17"/>
      <c r="AJ22" s="17"/>
      <c r="AK22" s="17"/>
      <c r="AL22" s="17"/>
    </row>
    <row r="23" spans="1:72" x14ac:dyDescent="0.3">
      <c r="A23" s="23"/>
      <c r="B23" s="21"/>
      <c r="C23" s="21"/>
      <c r="D23" s="21"/>
      <c r="E23" s="21"/>
      <c r="F23" s="21"/>
      <c r="G23" s="21"/>
      <c r="H23" s="21"/>
      <c r="I23" s="24"/>
      <c r="J23" s="21"/>
      <c r="K23" s="21"/>
      <c r="L23" s="22"/>
      <c r="M23" s="21"/>
      <c r="N23" s="21"/>
      <c r="O23" s="21"/>
      <c r="P23" s="21"/>
      <c r="Q23" s="21"/>
      <c r="R23" s="21"/>
      <c r="S23" s="21"/>
      <c r="T23" s="21"/>
      <c r="U23" s="21"/>
      <c r="V23" s="21"/>
      <c r="W23" s="21"/>
      <c r="X23" s="17"/>
      <c r="Y23" s="17"/>
      <c r="Z23" s="17"/>
      <c r="AA23" s="17"/>
      <c r="AB23" s="17"/>
      <c r="AC23" s="17"/>
      <c r="AD23" s="17"/>
      <c r="AE23" s="17"/>
      <c r="AF23" s="17"/>
      <c r="AG23" s="17"/>
      <c r="AH23" s="17"/>
      <c r="AI23" s="17"/>
      <c r="AJ23" s="17"/>
      <c r="AK23" s="17"/>
      <c r="AL23" s="17"/>
    </row>
    <row r="24" spans="1:72" x14ac:dyDescent="0.3">
      <c r="A24" s="21"/>
      <c r="B24" s="21"/>
      <c r="C24" s="21"/>
      <c r="D24" s="21"/>
      <c r="E24" s="21"/>
      <c r="F24" s="21"/>
      <c r="G24" s="21"/>
      <c r="H24" s="21"/>
      <c r="I24" s="24"/>
      <c r="J24" s="21"/>
      <c r="K24" s="21"/>
      <c r="L24" s="22"/>
      <c r="M24" s="21"/>
      <c r="N24" s="21"/>
      <c r="O24" s="21"/>
      <c r="P24" s="21"/>
      <c r="Q24" s="21"/>
      <c r="R24" s="21"/>
      <c r="S24" s="21"/>
      <c r="T24" s="21"/>
      <c r="U24" s="21"/>
      <c r="V24" s="21"/>
      <c r="W24" s="21"/>
      <c r="X24" s="17"/>
      <c r="Y24" s="17"/>
      <c r="Z24" s="17"/>
      <c r="AA24" s="17"/>
      <c r="AB24" s="17"/>
      <c r="AC24" s="17"/>
      <c r="AD24" s="17"/>
      <c r="AE24" s="17"/>
      <c r="AF24" s="17"/>
      <c r="AG24" s="17"/>
      <c r="AH24" s="17"/>
      <c r="AI24" s="17"/>
      <c r="AJ24" s="17"/>
      <c r="AK24" s="17"/>
      <c r="AL24" s="17"/>
    </row>
    <row r="25" spans="1:72" x14ac:dyDescent="0.3">
      <c r="A25" s="21"/>
      <c r="B25" s="21"/>
      <c r="C25" s="21"/>
      <c r="D25" s="21"/>
      <c r="E25" s="21"/>
      <c r="F25" s="21"/>
      <c r="G25" s="21"/>
      <c r="H25" s="21"/>
      <c r="I25" s="24"/>
      <c r="J25" s="21"/>
      <c r="K25" s="21"/>
      <c r="L25" s="22"/>
      <c r="M25" s="21"/>
      <c r="N25" s="21"/>
      <c r="O25" s="21"/>
      <c r="P25" s="21"/>
      <c r="Q25" s="21"/>
      <c r="R25" s="21"/>
      <c r="S25" s="21"/>
      <c r="T25" s="21"/>
      <c r="U25" s="21"/>
      <c r="V25" s="21"/>
      <c r="W25" s="21"/>
      <c r="X25" s="17"/>
      <c r="Y25" s="17"/>
      <c r="Z25" s="17"/>
      <c r="AA25" s="17"/>
      <c r="AB25" s="17"/>
      <c r="AC25" s="17"/>
      <c r="AD25" s="17"/>
      <c r="AE25" s="17"/>
      <c r="AF25" s="17"/>
      <c r="AG25" s="17"/>
      <c r="AH25" s="17"/>
      <c r="AI25" s="17"/>
      <c r="AJ25" s="17"/>
      <c r="AK25" s="17"/>
      <c r="AL25" s="17"/>
    </row>
    <row r="26" spans="1:72" x14ac:dyDescent="0.3">
      <c r="A26" s="21"/>
      <c r="B26" s="21"/>
      <c r="C26" s="21"/>
      <c r="D26" s="21"/>
      <c r="E26" s="21"/>
      <c r="F26" s="21"/>
      <c r="G26" s="21"/>
      <c r="H26" s="21"/>
      <c r="I26" s="24"/>
      <c r="J26" s="21"/>
      <c r="K26" s="21"/>
      <c r="L26" s="22"/>
      <c r="M26" s="21"/>
      <c r="N26" s="21"/>
      <c r="O26" s="21"/>
      <c r="P26" s="21"/>
      <c r="Q26" s="21"/>
      <c r="R26" s="21"/>
      <c r="S26" s="21"/>
      <c r="T26" s="21"/>
      <c r="U26" s="21"/>
      <c r="V26" s="21"/>
      <c r="W26" s="21"/>
      <c r="X26" s="17"/>
      <c r="Y26" s="17"/>
      <c r="Z26" s="17"/>
      <c r="AA26" s="17"/>
      <c r="AB26" s="17"/>
      <c r="AC26" s="17"/>
      <c r="AD26" s="17"/>
      <c r="AE26" s="17"/>
      <c r="AF26" s="17"/>
      <c r="AG26" s="17"/>
      <c r="AH26" s="17"/>
      <c r="AI26" s="17"/>
      <c r="AJ26" s="17"/>
      <c r="AK26" s="17"/>
      <c r="AL26" s="17"/>
    </row>
    <row r="27" spans="1:72" x14ac:dyDescent="0.3">
      <c r="A27" s="23"/>
      <c r="B27" s="21"/>
      <c r="C27" s="21"/>
      <c r="D27" s="21"/>
      <c r="E27" s="21"/>
      <c r="F27" s="21"/>
      <c r="G27" s="21"/>
      <c r="H27" s="21"/>
      <c r="I27" s="24"/>
      <c r="J27" s="21"/>
      <c r="K27" s="21"/>
      <c r="L27" s="22"/>
      <c r="M27" s="21"/>
      <c r="N27" s="21"/>
      <c r="O27" s="21"/>
      <c r="P27" s="21"/>
      <c r="Q27" s="21"/>
      <c r="R27" s="21"/>
      <c r="S27" s="21"/>
      <c r="T27" s="21"/>
      <c r="U27" s="21"/>
      <c r="V27" s="21"/>
      <c r="W27" s="21"/>
      <c r="X27" s="17"/>
      <c r="Y27" s="17"/>
      <c r="Z27" s="17"/>
      <c r="AA27" s="17"/>
      <c r="AB27" s="17"/>
      <c r="AC27" s="17"/>
      <c r="AD27" s="17"/>
      <c r="AE27" s="17"/>
      <c r="AF27" s="17"/>
      <c r="AG27" s="17"/>
      <c r="AH27" s="17"/>
      <c r="AI27" s="17"/>
      <c r="AJ27" s="17"/>
      <c r="AK27" s="17"/>
      <c r="AL27" s="17"/>
    </row>
    <row r="28" spans="1:72" x14ac:dyDescent="0.3">
      <c r="A28" s="23"/>
      <c r="B28" s="21"/>
      <c r="C28" s="21"/>
      <c r="D28" s="21"/>
      <c r="E28" s="21"/>
      <c r="F28" s="21"/>
      <c r="G28" s="21"/>
      <c r="H28" s="21"/>
      <c r="I28" s="24"/>
      <c r="J28" s="21"/>
      <c r="K28" s="21"/>
      <c r="L28" s="22"/>
      <c r="M28" s="21"/>
      <c r="N28" s="21"/>
      <c r="O28" s="21"/>
      <c r="P28" s="21"/>
      <c r="Q28" s="21"/>
      <c r="R28" s="21"/>
      <c r="S28" s="21"/>
      <c r="T28" s="21"/>
      <c r="U28" s="21"/>
      <c r="V28" s="21"/>
      <c r="W28" s="21"/>
      <c r="X28" s="17"/>
      <c r="Y28" s="17"/>
      <c r="Z28" s="17"/>
      <c r="AA28" s="17"/>
      <c r="AB28" s="17"/>
      <c r="AC28" s="17"/>
      <c r="AD28" s="17"/>
      <c r="AE28" s="17"/>
      <c r="AF28" s="17"/>
      <c r="AG28" s="17"/>
      <c r="AH28" s="17"/>
      <c r="AI28" s="17"/>
      <c r="AJ28" s="17"/>
      <c r="AK28" s="17"/>
      <c r="AL28" s="17"/>
    </row>
    <row r="29" spans="1:72" x14ac:dyDescent="0.3">
      <c r="A29" s="23"/>
      <c r="B29" s="21"/>
      <c r="C29" s="21"/>
      <c r="D29" s="21"/>
      <c r="E29" s="21"/>
      <c r="F29" s="21"/>
      <c r="G29" s="21"/>
      <c r="H29" s="21"/>
      <c r="I29" s="24"/>
      <c r="J29" s="21"/>
      <c r="K29" s="21"/>
      <c r="L29" s="22"/>
      <c r="M29" s="21"/>
      <c r="N29" s="21"/>
      <c r="O29" s="21"/>
      <c r="P29" s="21"/>
      <c r="Q29" s="21"/>
      <c r="R29" s="21"/>
      <c r="S29" s="21"/>
      <c r="T29" s="21"/>
      <c r="U29" s="21"/>
      <c r="V29" s="21"/>
      <c r="W29" s="21"/>
      <c r="X29" s="17"/>
      <c r="Y29" s="17"/>
      <c r="Z29" s="17"/>
      <c r="AA29" s="17"/>
      <c r="AB29" s="17"/>
      <c r="AC29" s="17"/>
      <c r="AD29" s="17"/>
      <c r="AE29" s="17"/>
      <c r="AF29" s="17"/>
      <c r="AG29" s="17"/>
      <c r="AH29" s="17"/>
      <c r="AI29" s="17"/>
      <c r="AJ29" s="17"/>
      <c r="AK29" s="17"/>
      <c r="AL29" s="17"/>
    </row>
    <row r="30" spans="1:72" x14ac:dyDescent="0.3">
      <c r="A30" s="23"/>
      <c r="B30" s="21"/>
      <c r="C30" s="21"/>
      <c r="D30" s="21"/>
      <c r="E30" s="21"/>
      <c r="F30" s="21"/>
      <c r="G30" s="21"/>
      <c r="H30" s="21"/>
      <c r="I30" s="24"/>
      <c r="J30" s="21"/>
      <c r="K30" s="21"/>
      <c r="L30" s="22"/>
      <c r="M30" s="21"/>
      <c r="N30" s="21"/>
      <c r="O30" s="21"/>
      <c r="P30" s="21"/>
      <c r="Q30" s="21"/>
      <c r="R30" s="21"/>
      <c r="S30" s="21"/>
      <c r="T30" s="21"/>
      <c r="U30" s="21"/>
      <c r="V30" s="21"/>
      <c r="W30" s="21"/>
      <c r="X30" s="17"/>
      <c r="Y30" s="17"/>
      <c r="Z30" s="17"/>
      <c r="AA30" s="17"/>
      <c r="AB30" s="17"/>
      <c r="AC30" s="17"/>
      <c r="AD30" s="17"/>
      <c r="AE30" s="17"/>
      <c r="AF30" s="17"/>
      <c r="AG30" s="17"/>
      <c r="AH30" s="17"/>
      <c r="AI30" s="17"/>
      <c r="AJ30" s="17"/>
      <c r="AK30" s="17"/>
      <c r="AL30" s="17"/>
    </row>
    <row r="31" spans="1:72" x14ac:dyDescent="0.3">
      <c r="A31" s="23"/>
      <c r="B31" s="21"/>
      <c r="C31" s="21"/>
      <c r="D31" s="21"/>
      <c r="E31" s="21"/>
      <c r="F31" s="21"/>
      <c r="G31" s="21"/>
      <c r="H31" s="21"/>
      <c r="I31" s="24"/>
      <c r="J31" s="21"/>
      <c r="K31" s="21"/>
      <c r="L31" s="22"/>
      <c r="M31" s="21"/>
      <c r="N31" s="21"/>
      <c r="O31" s="21"/>
      <c r="P31" s="21"/>
      <c r="Q31" s="21"/>
      <c r="R31" s="21"/>
      <c r="S31" s="21"/>
      <c r="T31" s="21"/>
      <c r="U31" s="21"/>
      <c r="V31" s="21"/>
      <c r="W31" s="21"/>
      <c r="X31" s="17"/>
      <c r="Y31" s="17"/>
      <c r="Z31" s="17"/>
      <c r="AA31" s="17"/>
      <c r="AB31" s="17"/>
      <c r="AC31" s="17"/>
      <c r="AD31" s="17"/>
      <c r="AE31" s="17"/>
      <c r="AF31" s="17"/>
      <c r="AG31" s="17"/>
      <c r="AH31" s="17"/>
      <c r="AI31" s="17"/>
      <c r="AJ31" s="17"/>
      <c r="AK31" s="17"/>
      <c r="AL31" s="17"/>
    </row>
    <row r="32" spans="1:72" x14ac:dyDescent="0.3">
      <c r="A32" s="23"/>
      <c r="B32" s="21"/>
      <c r="C32" s="21"/>
      <c r="D32" s="21"/>
      <c r="E32" s="21"/>
      <c r="F32" s="21"/>
      <c r="G32" s="21"/>
      <c r="H32" s="21"/>
      <c r="I32" s="24"/>
      <c r="J32" s="21"/>
      <c r="K32" s="21"/>
      <c r="L32" s="22"/>
      <c r="M32" s="21"/>
      <c r="N32" s="21"/>
      <c r="O32" s="21"/>
      <c r="P32" s="21"/>
      <c r="Q32" s="21"/>
      <c r="R32" s="21"/>
      <c r="S32" s="21"/>
      <c r="T32" s="21"/>
      <c r="U32" s="21"/>
      <c r="V32" s="21"/>
      <c r="W32" s="21"/>
      <c r="X32" s="17"/>
      <c r="Y32" s="17"/>
      <c r="Z32" s="17"/>
      <c r="AA32" s="17"/>
      <c r="AB32" s="17"/>
      <c r="AC32" s="17"/>
      <c r="AD32" s="17"/>
      <c r="AE32" s="17"/>
      <c r="AF32" s="17"/>
      <c r="AG32" s="17"/>
      <c r="AH32" s="17"/>
      <c r="AI32" s="17"/>
      <c r="AJ32" s="17"/>
      <c r="AK32" s="17"/>
      <c r="AL32" s="17"/>
    </row>
    <row r="33" spans="1:38" x14ac:dyDescent="0.3">
      <c r="A33" s="23"/>
      <c r="B33" s="21"/>
      <c r="C33" s="21"/>
      <c r="D33" s="21"/>
      <c r="E33" s="21"/>
      <c r="F33" s="21"/>
      <c r="G33" s="21"/>
      <c r="H33" s="21"/>
      <c r="I33" s="24"/>
      <c r="J33" s="21"/>
      <c r="K33" s="21"/>
      <c r="L33" s="22"/>
      <c r="M33" s="21"/>
      <c r="N33" s="21"/>
      <c r="O33" s="21"/>
      <c r="P33" s="21"/>
      <c r="Q33" s="21"/>
      <c r="R33" s="21"/>
      <c r="S33" s="21"/>
      <c r="T33" s="21"/>
      <c r="U33" s="21"/>
      <c r="V33" s="21"/>
      <c r="W33" s="21"/>
      <c r="X33" s="17"/>
      <c r="Y33" s="17"/>
      <c r="Z33" s="17"/>
      <c r="AA33" s="17"/>
      <c r="AB33" s="17"/>
      <c r="AC33" s="17"/>
      <c r="AD33" s="17"/>
      <c r="AE33" s="17"/>
      <c r="AF33" s="17"/>
      <c r="AG33" s="17"/>
      <c r="AH33" s="17"/>
      <c r="AI33" s="17"/>
      <c r="AJ33" s="17"/>
      <c r="AK33" s="17"/>
      <c r="AL33" s="17"/>
    </row>
    <row r="34" spans="1:38" x14ac:dyDescent="0.3">
      <c r="A34" s="23"/>
      <c r="B34" s="21"/>
      <c r="C34" s="21"/>
      <c r="D34" s="21"/>
      <c r="E34" s="21"/>
      <c r="F34" s="21"/>
      <c r="G34" s="21"/>
      <c r="H34" s="21"/>
      <c r="I34" s="24"/>
      <c r="J34" s="21"/>
      <c r="K34" s="21"/>
      <c r="L34" s="22"/>
      <c r="M34" s="21"/>
      <c r="N34" s="21"/>
      <c r="O34" s="21"/>
      <c r="P34" s="21"/>
      <c r="Q34" s="21"/>
      <c r="R34" s="21"/>
      <c r="S34" s="21"/>
      <c r="T34" s="21"/>
      <c r="U34" s="21"/>
      <c r="V34" s="21"/>
      <c r="W34" s="21"/>
      <c r="X34" s="17"/>
      <c r="Y34" s="17"/>
      <c r="Z34" s="17"/>
      <c r="AA34" s="17"/>
      <c r="AB34" s="17"/>
      <c r="AC34" s="17"/>
      <c r="AD34" s="17"/>
      <c r="AE34" s="17"/>
      <c r="AF34" s="17"/>
      <c r="AG34" s="17"/>
      <c r="AH34" s="17"/>
      <c r="AI34" s="17"/>
      <c r="AJ34" s="17"/>
      <c r="AK34" s="17"/>
      <c r="AL34" s="17"/>
    </row>
    <row r="35" spans="1:38" x14ac:dyDescent="0.3">
      <c r="A35" s="23"/>
      <c r="B35" s="21"/>
      <c r="C35" s="21"/>
      <c r="D35" s="21"/>
      <c r="E35" s="21"/>
      <c r="F35" s="21"/>
      <c r="G35" s="21"/>
      <c r="H35" s="21"/>
      <c r="I35" s="24"/>
      <c r="J35" s="21"/>
      <c r="K35" s="21"/>
      <c r="L35" s="22"/>
      <c r="M35" s="21"/>
      <c r="N35" s="21"/>
      <c r="O35" s="21"/>
      <c r="P35" s="21"/>
      <c r="Q35" s="21"/>
      <c r="R35" s="21"/>
      <c r="S35" s="21"/>
      <c r="T35" s="21"/>
      <c r="U35" s="21"/>
      <c r="V35" s="21"/>
      <c r="W35" s="21"/>
      <c r="X35" s="17"/>
      <c r="Y35" s="17"/>
      <c r="Z35" s="17"/>
      <c r="AA35" s="17"/>
      <c r="AB35" s="17"/>
      <c r="AC35" s="17"/>
      <c r="AD35" s="17"/>
      <c r="AE35" s="17"/>
      <c r="AF35" s="17"/>
      <c r="AG35" s="17"/>
      <c r="AH35" s="17"/>
      <c r="AI35" s="17"/>
      <c r="AJ35" s="17"/>
      <c r="AK35" s="17"/>
      <c r="AL35" s="17"/>
    </row>
    <row r="36" spans="1:38" x14ac:dyDescent="0.3">
      <c r="A36" s="23"/>
      <c r="B36" s="21"/>
      <c r="C36" s="21"/>
      <c r="D36" s="21"/>
      <c r="E36" s="21"/>
      <c r="F36" s="21"/>
      <c r="G36" s="21"/>
      <c r="H36" s="21"/>
      <c r="I36" s="24"/>
      <c r="J36" s="21"/>
      <c r="K36" s="21"/>
      <c r="L36" s="22"/>
      <c r="M36" s="21"/>
      <c r="N36" s="21"/>
      <c r="O36" s="21"/>
      <c r="P36" s="21"/>
      <c r="Q36" s="21"/>
      <c r="R36" s="21"/>
      <c r="S36" s="21"/>
      <c r="T36" s="21"/>
      <c r="U36" s="21"/>
      <c r="V36" s="21"/>
      <c r="W36" s="21"/>
      <c r="X36" s="17"/>
      <c r="Y36" s="17"/>
      <c r="Z36" s="17"/>
      <c r="AA36" s="17"/>
      <c r="AB36" s="17"/>
      <c r="AC36" s="17"/>
      <c r="AD36" s="17"/>
      <c r="AE36" s="17"/>
      <c r="AF36" s="17"/>
      <c r="AG36" s="17"/>
      <c r="AH36" s="17"/>
      <c r="AI36" s="17"/>
      <c r="AJ36" s="17"/>
      <c r="AK36" s="17"/>
      <c r="AL36" s="17"/>
    </row>
    <row r="37" spans="1:38" x14ac:dyDescent="0.3">
      <c r="A37" s="23"/>
      <c r="B37" s="21"/>
      <c r="C37" s="21"/>
      <c r="D37" s="21"/>
      <c r="E37" s="21"/>
      <c r="F37" s="21"/>
      <c r="G37" s="21"/>
      <c r="H37" s="21"/>
      <c r="I37" s="24"/>
      <c r="J37" s="21"/>
      <c r="K37" s="21"/>
      <c r="L37" s="22"/>
      <c r="M37" s="21"/>
      <c r="N37" s="21"/>
      <c r="O37" s="21"/>
      <c r="P37" s="21"/>
      <c r="Q37" s="21"/>
      <c r="R37" s="21"/>
      <c r="S37" s="21"/>
      <c r="T37" s="21"/>
      <c r="U37" s="21"/>
      <c r="V37" s="21"/>
      <c r="W37" s="21"/>
      <c r="X37" s="17"/>
      <c r="Y37" s="17"/>
      <c r="Z37" s="17"/>
      <c r="AA37" s="17"/>
      <c r="AB37" s="17"/>
      <c r="AC37" s="17"/>
      <c r="AD37" s="17"/>
      <c r="AE37" s="17"/>
      <c r="AF37" s="17"/>
      <c r="AG37" s="17"/>
      <c r="AH37" s="17"/>
      <c r="AI37" s="17"/>
      <c r="AJ37" s="17"/>
      <c r="AK37" s="17"/>
      <c r="AL37" s="17"/>
    </row>
    <row r="38" spans="1:38" x14ac:dyDescent="0.3">
      <c r="A38" s="23"/>
      <c r="B38" s="21"/>
      <c r="C38" s="21"/>
      <c r="D38" s="21"/>
      <c r="E38" s="21"/>
      <c r="F38" s="21"/>
      <c r="G38" s="21"/>
      <c r="H38" s="21"/>
      <c r="I38" s="24"/>
      <c r="J38" s="21"/>
      <c r="K38" s="21"/>
      <c r="L38" s="22"/>
      <c r="M38" s="21"/>
      <c r="N38" s="21"/>
      <c r="O38" s="21"/>
      <c r="P38" s="21"/>
      <c r="Q38" s="21"/>
      <c r="R38" s="21"/>
      <c r="S38" s="21"/>
      <c r="T38" s="21"/>
      <c r="U38" s="21"/>
      <c r="V38" s="21"/>
      <c r="W38" s="21"/>
      <c r="X38" s="17"/>
      <c r="Y38" s="17"/>
      <c r="Z38" s="17"/>
      <c r="AA38" s="17"/>
      <c r="AB38" s="17"/>
      <c r="AC38" s="17"/>
      <c r="AD38" s="17"/>
      <c r="AE38" s="17"/>
      <c r="AF38" s="17"/>
      <c r="AG38" s="17"/>
      <c r="AH38" s="17"/>
      <c r="AI38" s="17"/>
      <c r="AJ38" s="17"/>
      <c r="AK38" s="17"/>
      <c r="AL38" s="17"/>
    </row>
    <row r="39" spans="1:38" x14ac:dyDescent="0.3">
      <c r="A39" s="23"/>
      <c r="B39" s="21"/>
      <c r="C39" s="21"/>
      <c r="D39" s="21"/>
      <c r="E39" s="21"/>
      <c r="F39" s="21"/>
      <c r="G39" s="21"/>
      <c r="H39" s="21"/>
      <c r="I39" s="24"/>
      <c r="J39" s="21"/>
      <c r="K39" s="21"/>
      <c r="L39" s="22"/>
      <c r="M39" s="21"/>
      <c r="N39" s="21"/>
      <c r="O39" s="21"/>
      <c r="P39" s="21"/>
      <c r="Q39" s="21"/>
      <c r="R39" s="21"/>
      <c r="S39" s="21"/>
      <c r="T39" s="21"/>
      <c r="U39" s="21"/>
      <c r="V39" s="21"/>
      <c r="W39" s="21"/>
      <c r="X39" s="17"/>
      <c r="Y39" s="17"/>
      <c r="Z39" s="17"/>
      <c r="AA39" s="17"/>
      <c r="AB39" s="17"/>
      <c r="AC39" s="17"/>
      <c r="AD39" s="17"/>
      <c r="AE39" s="17"/>
      <c r="AF39" s="17"/>
      <c r="AG39" s="17"/>
      <c r="AH39" s="17"/>
      <c r="AI39" s="17"/>
      <c r="AJ39" s="17"/>
      <c r="AK39" s="17"/>
      <c r="AL39" s="17"/>
    </row>
    <row r="40" spans="1:38" x14ac:dyDescent="0.3">
      <c r="A40" s="23"/>
      <c r="B40" s="21"/>
      <c r="C40" s="21"/>
      <c r="D40" s="21"/>
      <c r="E40" s="21"/>
      <c r="F40" s="21"/>
      <c r="G40" s="21"/>
      <c r="H40" s="21"/>
      <c r="I40" s="24"/>
      <c r="J40" s="21"/>
      <c r="K40" s="21"/>
      <c r="L40" s="22"/>
      <c r="M40" s="21"/>
      <c r="N40" s="21"/>
      <c r="O40" s="21"/>
      <c r="P40" s="21"/>
      <c r="Q40" s="21"/>
      <c r="R40" s="21"/>
      <c r="S40" s="21"/>
      <c r="T40" s="21"/>
      <c r="U40" s="21"/>
      <c r="V40" s="21"/>
      <c r="W40" s="21"/>
      <c r="X40" s="17"/>
      <c r="Y40" s="17"/>
      <c r="Z40" s="17"/>
      <c r="AA40" s="17"/>
      <c r="AB40" s="17"/>
      <c r="AC40" s="17"/>
      <c r="AD40" s="17"/>
      <c r="AE40" s="17"/>
      <c r="AF40" s="17"/>
      <c r="AG40" s="17"/>
      <c r="AH40" s="17"/>
      <c r="AI40" s="17"/>
      <c r="AJ40" s="17"/>
      <c r="AK40" s="17"/>
      <c r="AL40" s="17"/>
    </row>
    <row r="41" spans="1:38" x14ac:dyDescent="0.3">
      <c r="A41" s="23"/>
      <c r="B41" s="21"/>
      <c r="C41" s="21"/>
      <c r="D41" s="21"/>
      <c r="E41" s="21"/>
      <c r="F41" s="21"/>
      <c r="G41" s="21"/>
      <c r="H41" s="21"/>
      <c r="I41" s="24"/>
      <c r="J41" s="21"/>
      <c r="K41" s="21"/>
      <c r="L41" s="22"/>
      <c r="M41" s="21"/>
      <c r="N41" s="21"/>
      <c r="O41" s="21"/>
      <c r="P41" s="21"/>
      <c r="Q41" s="21"/>
      <c r="R41" s="21"/>
      <c r="S41" s="21"/>
      <c r="T41" s="21"/>
      <c r="U41" s="21"/>
      <c r="V41" s="21"/>
      <c r="W41" s="21"/>
      <c r="X41" s="17"/>
      <c r="Y41" s="17"/>
      <c r="Z41" s="17"/>
      <c r="AA41" s="17"/>
      <c r="AB41" s="17"/>
      <c r="AC41" s="17"/>
      <c r="AD41" s="17"/>
      <c r="AE41" s="17"/>
      <c r="AF41" s="17"/>
      <c r="AG41" s="17"/>
      <c r="AH41" s="17"/>
      <c r="AI41" s="17"/>
      <c r="AJ41" s="17"/>
      <c r="AK41" s="17"/>
      <c r="AL41" s="17"/>
    </row>
    <row r="42" spans="1:38" x14ac:dyDescent="0.3">
      <c r="A42" s="23"/>
      <c r="B42" s="21"/>
      <c r="C42" s="21"/>
      <c r="D42" s="21"/>
      <c r="E42" s="21"/>
      <c r="F42" s="21"/>
      <c r="G42" s="21"/>
      <c r="H42" s="21"/>
      <c r="I42" s="24"/>
      <c r="J42" s="21"/>
      <c r="K42" s="21"/>
      <c r="L42" s="22"/>
      <c r="M42" s="21"/>
      <c r="N42" s="21"/>
      <c r="O42" s="21"/>
      <c r="P42" s="21"/>
      <c r="Q42" s="21"/>
      <c r="R42" s="21"/>
      <c r="S42" s="21"/>
      <c r="T42" s="21"/>
      <c r="U42" s="21"/>
      <c r="V42" s="21"/>
      <c r="W42" s="21"/>
      <c r="X42" s="17"/>
      <c r="Y42" s="17"/>
      <c r="Z42" s="17"/>
      <c r="AA42" s="17"/>
      <c r="AB42" s="17"/>
      <c r="AC42" s="17"/>
      <c r="AD42" s="17"/>
      <c r="AE42" s="17"/>
      <c r="AF42" s="17"/>
      <c r="AG42" s="17"/>
      <c r="AH42" s="17"/>
      <c r="AI42" s="17"/>
      <c r="AJ42" s="17"/>
      <c r="AK42" s="17"/>
      <c r="AL42" s="17"/>
    </row>
    <row r="43" spans="1:38" x14ac:dyDescent="0.3">
      <c r="A43" s="23"/>
      <c r="B43" s="21"/>
      <c r="C43" s="21"/>
      <c r="D43" s="21"/>
      <c r="E43" s="21"/>
      <c r="F43" s="21"/>
      <c r="G43" s="21"/>
      <c r="H43" s="21"/>
      <c r="I43" s="24"/>
      <c r="J43" s="21"/>
      <c r="K43" s="21"/>
      <c r="L43" s="22"/>
      <c r="M43" s="21"/>
      <c r="N43" s="21"/>
      <c r="O43" s="21"/>
      <c r="P43" s="21"/>
      <c r="Q43" s="21"/>
      <c r="R43" s="21"/>
      <c r="S43" s="21"/>
      <c r="T43" s="21"/>
      <c r="U43" s="21"/>
      <c r="V43" s="21"/>
      <c r="W43" s="21"/>
      <c r="X43" s="17"/>
      <c r="Y43" s="17"/>
      <c r="Z43" s="17"/>
      <c r="AA43" s="17"/>
      <c r="AB43" s="17"/>
      <c r="AC43" s="17"/>
      <c r="AD43" s="17"/>
      <c r="AE43" s="17"/>
      <c r="AF43" s="17"/>
      <c r="AG43" s="17"/>
      <c r="AH43" s="17"/>
      <c r="AI43" s="17"/>
      <c r="AJ43" s="17"/>
      <c r="AK43" s="17"/>
      <c r="AL43" s="17"/>
    </row>
    <row r="44" spans="1:38" x14ac:dyDescent="0.3">
      <c r="A44" s="23"/>
      <c r="B44" s="21"/>
      <c r="C44" s="21"/>
      <c r="D44" s="21"/>
      <c r="E44" s="21"/>
      <c r="F44" s="21"/>
      <c r="G44" s="21"/>
      <c r="H44" s="21"/>
      <c r="I44" s="24"/>
      <c r="J44" s="21"/>
      <c r="K44" s="21"/>
      <c r="L44" s="22"/>
      <c r="M44" s="21"/>
      <c r="N44" s="21"/>
      <c r="O44" s="21"/>
      <c r="P44" s="21"/>
      <c r="Q44" s="21"/>
      <c r="R44" s="21"/>
      <c r="S44" s="21"/>
      <c r="T44" s="21"/>
      <c r="U44" s="21"/>
      <c r="V44" s="21"/>
      <c r="W44" s="21"/>
      <c r="X44" s="17"/>
      <c r="Y44" s="17"/>
      <c r="Z44" s="17"/>
      <c r="AA44" s="17"/>
      <c r="AB44" s="17"/>
      <c r="AC44" s="17"/>
      <c r="AD44" s="17"/>
      <c r="AE44" s="17"/>
      <c r="AF44" s="17"/>
      <c r="AG44" s="17"/>
      <c r="AH44" s="17"/>
      <c r="AI44" s="17"/>
      <c r="AJ44" s="17"/>
      <c r="AK44" s="17"/>
      <c r="AL44" s="17"/>
    </row>
    <row r="45" spans="1:38" x14ac:dyDescent="0.3">
      <c r="A45" s="23"/>
      <c r="B45" s="21"/>
      <c r="C45" s="21"/>
      <c r="D45" s="21"/>
      <c r="E45" s="21"/>
      <c r="F45" s="21"/>
      <c r="G45" s="21"/>
      <c r="H45" s="21"/>
      <c r="I45" s="24"/>
      <c r="J45" s="21"/>
      <c r="K45" s="21"/>
      <c r="L45" s="22"/>
      <c r="M45" s="21"/>
      <c r="N45" s="21"/>
      <c r="O45" s="21"/>
      <c r="P45" s="21"/>
      <c r="Q45" s="21"/>
      <c r="R45" s="21"/>
      <c r="S45" s="21"/>
      <c r="T45" s="21"/>
      <c r="U45" s="21"/>
      <c r="V45" s="21"/>
      <c r="W45" s="21"/>
      <c r="X45" s="17"/>
      <c r="Y45" s="17"/>
      <c r="Z45" s="17"/>
      <c r="AA45" s="17"/>
      <c r="AB45" s="17"/>
      <c r="AC45" s="17"/>
      <c r="AD45" s="17"/>
      <c r="AE45" s="17"/>
      <c r="AF45" s="17"/>
      <c r="AG45" s="17"/>
      <c r="AH45" s="17"/>
      <c r="AI45" s="17"/>
      <c r="AJ45" s="17"/>
      <c r="AK45" s="17"/>
      <c r="AL45" s="17"/>
    </row>
    <row r="46" spans="1:38" x14ac:dyDescent="0.3">
      <c r="A46" s="23"/>
      <c r="B46" s="21"/>
      <c r="C46" s="21"/>
      <c r="D46" s="21"/>
      <c r="E46" s="21"/>
      <c r="F46" s="21"/>
      <c r="G46" s="21"/>
      <c r="H46" s="21"/>
      <c r="I46" s="24"/>
      <c r="J46" s="21"/>
      <c r="K46" s="21"/>
      <c r="L46" s="22"/>
      <c r="M46" s="21"/>
      <c r="N46" s="21"/>
      <c r="O46" s="21"/>
      <c r="P46" s="21"/>
      <c r="Q46" s="21"/>
      <c r="R46" s="21"/>
      <c r="S46" s="21"/>
      <c r="T46" s="21"/>
      <c r="U46" s="21"/>
      <c r="V46" s="21"/>
      <c r="W46" s="21"/>
      <c r="X46" s="17"/>
      <c r="Y46" s="17"/>
      <c r="Z46" s="17"/>
      <c r="AA46" s="17"/>
      <c r="AB46" s="17"/>
      <c r="AC46" s="17"/>
      <c r="AD46" s="17"/>
      <c r="AE46" s="17"/>
      <c r="AF46" s="17"/>
      <c r="AG46" s="17"/>
      <c r="AH46" s="17"/>
      <c r="AI46" s="17"/>
      <c r="AJ46" s="17"/>
      <c r="AK46" s="17"/>
      <c r="AL46" s="17"/>
    </row>
    <row r="47" spans="1:38" x14ac:dyDescent="0.3">
      <c r="A47" s="23"/>
      <c r="B47" s="21"/>
      <c r="C47" s="21"/>
      <c r="D47" s="21"/>
      <c r="E47" s="21"/>
      <c r="F47" s="21"/>
      <c r="G47" s="21"/>
      <c r="H47" s="21"/>
      <c r="I47" s="24"/>
      <c r="J47" s="21"/>
      <c r="K47" s="21"/>
      <c r="L47" s="22"/>
      <c r="M47" s="21"/>
      <c r="N47" s="21"/>
      <c r="O47" s="21"/>
      <c r="P47" s="21"/>
      <c r="Q47" s="21"/>
      <c r="R47" s="21"/>
      <c r="S47" s="21"/>
      <c r="T47" s="21"/>
      <c r="U47" s="21"/>
      <c r="V47" s="21"/>
      <c r="W47" s="21"/>
      <c r="X47" s="17"/>
      <c r="Y47" s="17"/>
      <c r="Z47" s="17"/>
      <c r="AA47" s="17"/>
      <c r="AB47" s="17"/>
      <c r="AC47" s="17"/>
      <c r="AD47" s="17"/>
      <c r="AE47" s="17"/>
      <c r="AF47" s="17"/>
      <c r="AG47" s="17"/>
      <c r="AH47" s="17"/>
      <c r="AI47" s="17"/>
      <c r="AJ47" s="17"/>
      <c r="AK47" s="17"/>
      <c r="AL47" s="17"/>
    </row>
    <row r="48" spans="1:38" x14ac:dyDescent="0.3">
      <c r="A48" s="23"/>
      <c r="B48" s="21"/>
      <c r="C48" s="21"/>
      <c r="D48" s="21"/>
      <c r="E48" s="21"/>
      <c r="F48" s="21"/>
      <c r="G48" s="21"/>
      <c r="H48" s="21"/>
      <c r="I48" s="24"/>
      <c r="J48" s="21"/>
      <c r="K48" s="21"/>
      <c r="L48" s="22"/>
      <c r="M48" s="21"/>
      <c r="N48" s="21"/>
      <c r="O48" s="21"/>
      <c r="P48" s="21"/>
      <c r="Q48" s="21"/>
      <c r="R48" s="21"/>
      <c r="S48" s="21"/>
      <c r="T48" s="21"/>
      <c r="U48" s="21"/>
      <c r="V48" s="21"/>
      <c r="W48" s="21"/>
      <c r="X48" s="17"/>
      <c r="Y48" s="17"/>
      <c r="Z48" s="17"/>
      <c r="AA48" s="17"/>
      <c r="AB48" s="17"/>
      <c r="AC48" s="17"/>
      <c r="AD48" s="17"/>
      <c r="AE48" s="17"/>
      <c r="AF48" s="17"/>
      <c r="AG48" s="17"/>
      <c r="AH48" s="17"/>
      <c r="AI48" s="17"/>
      <c r="AJ48" s="17"/>
      <c r="AK48" s="17"/>
      <c r="AL48" s="17"/>
    </row>
    <row r="49" spans="1:38" x14ac:dyDescent="0.3">
      <c r="A49" s="23"/>
      <c r="B49" s="21"/>
      <c r="C49" s="21"/>
      <c r="D49" s="21"/>
      <c r="E49" s="21"/>
      <c r="F49" s="21"/>
      <c r="G49" s="21"/>
      <c r="H49" s="21"/>
      <c r="I49" s="24"/>
      <c r="J49" s="21"/>
      <c r="K49" s="21"/>
      <c r="L49" s="22"/>
      <c r="M49" s="21"/>
      <c r="N49" s="21"/>
      <c r="O49" s="21"/>
      <c r="P49" s="21"/>
      <c r="Q49" s="21"/>
      <c r="R49" s="21"/>
      <c r="S49" s="21"/>
      <c r="T49" s="21"/>
      <c r="U49" s="21"/>
      <c r="V49" s="21"/>
      <c r="W49" s="21"/>
      <c r="X49" s="17"/>
      <c r="Y49" s="17"/>
      <c r="Z49" s="17"/>
      <c r="AA49" s="17"/>
      <c r="AB49" s="17"/>
      <c r="AC49" s="17"/>
      <c r="AD49" s="17"/>
      <c r="AE49" s="17"/>
      <c r="AF49" s="17"/>
      <c r="AG49" s="17"/>
      <c r="AH49" s="17"/>
      <c r="AI49" s="17"/>
      <c r="AJ49" s="17"/>
      <c r="AK49" s="17"/>
      <c r="AL49" s="17"/>
    </row>
    <row r="50" spans="1:38" x14ac:dyDescent="0.3">
      <c r="A50" s="23"/>
      <c r="B50" s="21"/>
      <c r="C50" s="21"/>
      <c r="D50" s="21"/>
      <c r="E50" s="21"/>
      <c r="F50" s="21"/>
      <c r="G50" s="21"/>
      <c r="H50" s="21"/>
      <c r="I50" s="24"/>
      <c r="J50" s="21"/>
      <c r="K50" s="21"/>
      <c r="L50" s="22"/>
      <c r="M50" s="21"/>
      <c r="N50" s="21"/>
      <c r="O50" s="21"/>
      <c r="P50" s="21"/>
      <c r="Q50" s="21"/>
      <c r="R50" s="21"/>
      <c r="S50" s="21"/>
      <c r="T50" s="21"/>
      <c r="U50" s="21"/>
      <c r="V50" s="21"/>
      <c r="W50" s="21"/>
      <c r="X50" s="17"/>
      <c r="Y50" s="17"/>
      <c r="Z50" s="17"/>
      <c r="AA50" s="17"/>
      <c r="AB50" s="17"/>
      <c r="AC50" s="17"/>
      <c r="AD50" s="17"/>
      <c r="AE50" s="17"/>
      <c r="AF50" s="17"/>
      <c r="AG50" s="17"/>
      <c r="AH50" s="17"/>
      <c r="AI50" s="17"/>
      <c r="AJ50" s="17"/>
      <c r="AK50" s="17"/>
      <c r="AL50" s="17"/>
    </row>
    <row r="51" spans="1:38" x14ac:dyDescent="0.3">
      <c r="A51" s="23"/>
      <c r="B51" s="21"/>
      <c r="C51" s="21"/>
      <c r="D51" s="21"/>
      <c r="E51" s="21"/>
      <c r="F51" s="21"/>
      <c r="G51" s="21"/>
      <c r="H51" s="21"/>
      <c r="I51" s="24"/>
      <c r="J51" s="21"/>
      <c r="K51" s="21"/>
      <c r="L51" s="22"/>
      <c r="M51" s="21"/>
      <c r="N51" s="21"/>
      <c r="O51" s="21"/>
      <c r="P51" s="21"/>
      <c r="Q51" s="21"/>
      <c r="R51" s="21"/>
      <c r="S51" s="21"/>
      <c r="T51" s="21"/>
      <c r="U51" s="21"/>
      <c r="V51" s="21"/>
      <c r="W51" s="21"/>
      <c r="X51" s="17"/>
      <c r="Y51" s="17"/>
      <c r="Z51" s="17"/>
      <c r="AA51" s="17"/>
      <c r="AB51" s="17"/>
      <c r="AC51" s="17"/>
      <c r="AD51" s="17"/>
      <c r="AE51" s="17"/>
      <c r="AF51" s="17"/>
      <c r="AG51" s="17"/>
      <c r="AH51" s="17"/>
      <c r="AI51" s="17"/>
      <c r="AJ51" s="17"/>
      <c r="AK51" s="17"/>
      <c r="AL51" s="17"/>
    </row>
    <row r="52" spans="1:38" x14ac:dyDescent="0.3">
      <c r="A52" s="23"/>
      <c r="B52" s="21"/>
      <c r="C52" s="21"/>
      <c r="D52" s="21"/>
      <c r="E52" s="21"/>
      <c r="F52" s="21"/>
      <c r="G52" s="21"/>
      <c r="H52" s="21"/>
      <c r="I52" s="24"/>
      <c r="J52" s="21"/>
      <c r="K52" s="21"/>
      <c r="L52" s="22"/>
      <c r="M52" s="21"/>
      <c r="N52" s="21"/>
      <c r="O52" s="21"/>
      <c r="P52" s="21"/>
      <c r="Q52" s="21"/>
      <c r="R52" s="21"/>
      <c r="S52" s="21"/>
      <c r="T52" s="21"/>
      <c r="U52" s="21"/>
      <c r="V52" s="21"/>
      <c r="W52" s="21"/>
      <c r="X52" s="17"/>
      <c r="Y52" s="17"/>
      <c r="Z52" s="17"/>
      <c r="AA52" s="17"/>
      <c r="AB52" s="17"/>
      <c r="AC52" s="17"/>
      <c r="AD52" s="17"/>
      <c r="AE52" s="17"/>
      <c r="AF52" s="17"/>
      <c r="AG52" s="17"/>
      <c r="AH52" s="17"/>
      <c r="AI52" s="17"/>
      <c r="AJ52" s="17"/>
      <c r="AK52" s="17"/>
      <c r="AL52" s="17"/>
    </row>
    <row r="53" spans="1:38" x14ac:dyDescent="0.3">
      <c r="A53" s="23"/>
      <c r="B53" s="21"/>
      <c r="C53" s="21"/>
      <c r="D53" s="21"/>
      <c r="E53" s="21"/>
      <c r="F53" s="21"/>
      <c r="G53" s="21"/>
      <c r="H53" s="21"/>
      <c r="I53" s="24"/>
      <c r="J53" s="21"/>
      <c r="K53" s="21"/>
      <c r="L53" s="22"/>
      <c r="M53" s="21"/>
      <c r="N53" s="21"/>
      <c r="O53" s="21"/>
      <c r="P53" s="21"/>
      <c r="Q53" s="21"/>
      <c r="R53" s="21"/>
      <c r="S53" s="21"/>
      <c r="T53" s="21"/>
      <c r="U53" s="21"/>
      <c r="V53" s="21"/>
      <c r="W53" s="21"/>
      <c r="X53" s="17"/>
      <c r="Y53" s="17"/>
      <c r="Z53" s="17"/>
      <c r="AA53" s="17"/>
      <c r="AB53" s="17"/>
      <c r="AC53" s="17"/>
      <c r="AD53" s="17"/>
      <c r="AE53" s="17"/>
      <c r="AF53" s="17"/>
      <c r="AG53" s="17"/>
      <c r="AH53" s="17"/>
      <c r="AI53" s="17"/>
      <c r="AJ53" s="17"/>
      <c r="AK53" s="17"/>
      <c r="AL53" s="17"/>
    </row>
    <row r="54" spans="1:38" x14ac:dyDescent="0.3">
      <c r="A54" s="23"/>
      <c r="B54" s="21"/>
      <c r="C54" s="21"/>
      <c r="D54" s="21"/>
      <c r="E54" s="21"/>
      <c r="F54" s="21"/>
      <c r="G54" s="21"/>
      <c r="H54" s="21"/>
      <c r="I54" s="24"/>
      <c r="J54" s="21"/>
      <c r="K54" s="21"/>
      <c r="L54" s="22"/>
      <c r="M54" s="21"/>
      <c r="N54" s="21"/>
      <c r="O54" s="21"/>
      <c r="P54" s="21"/>
      <c r="Q54" s="21"/>
      <c r="R54" s="21"/>
      <c r="S54" s="21"/>
      <c r="T54" s="21"/>
      <c r="U54" s="21"/>
      <c r="V54" s="21"/>
      <c r="W54" s="21"/>
      <c r="X54" s="17"/>
      <c r="Y54" s="17"/>
      <c r="Z54" s="17"/>
      <c r="AA54" s="17"/>
      <c r="AB54" s="17"/>
      <c r="AC54" s="17"/>
      <c r="AD54" s="17"/>
      <c r="AE54" s="17"/>
      <c r="AF54" s="17"/>
      <c r="AG54" s="17"/>
      <c r="AH54" s="17"/>
      <c r="AI54" s="17"/>
      <c r="AJ54" s="17"/>
      <c r="AK54" s="17"/>
      <c r="AL54" s="17"/>
    </row>
    <row r="55" spans="1:38" x14ac:dyDescent="0.3">
      <c r="A55" s="23"/>
      <c r="B55" s="21"/>
      <c r="C55" s="21"/>
      <c r="D55" s="21"/>
      <c r="E55" s="21"/>
      <c r="F55" s="21"/>
      <c r="G55" s="21"/>
      <c r="H55" s="21"/>
      <c r="I55" s="24"/>
      <c r="J55" s="21"/>
      <c r="K55" s="21"/>
      <c r="L55" s="22"/>
      <c r="M55" s="21"/>
      <c r="N55" s="21"/>
      <c r="O55" s="21"/>
      <c r="P55" s="21"/>
      <c r="Q55" s="21"/>
      <c r="R55" s="21"/>
      <c r="S55" s="21"/>
      <c r="T55" s="21"/>
      <c r="U55" s="21"/>
      <c r="V55" s="21"/>
      <c r="W55" s="21"/>
      <c r="X55" s="17"/>
      <c r="Y55" s="17"/>
      <c r="Z55" s="17"/>
      <c r="AA55" s="17"/>
      <c r="AB55" s="17"/>
      <c r="AC55" s="17"/>
      <c r="AD55" s="17"/>
      <c r="AE55" s="17"/>
      <c r="AF55" s="17"/>
      <c r="AG55" s="17"/>
      <c r="AH55" s="17"/>
      <c r="AI55" s="17"/>
      <c r="AJ55" s="17"/>
      <c r="AK55" s="17"/>
      <c r="AL55" s="17"/>
    </row>
    <row r="56" spans="1:38" x14ac:dyDescent="0.3">
      <c r="A56" s="23"/>
      <c r="B56" s="21"/>
      <c r="C56" s="21"/>
      <c r="D56" s="21"/>
      <c r="E56" s="21"/>
      <c r="F56" s="21"/>
      <c r="G56" s="21"/>
      <c r="H56" s="21"/>
      <c r="I56" s="24"/>
      <c r="J56" s="21"/>
      <c r="K56" s="21"/>
      <c r="L56" s="22"/>
      <c r="M56" s="21"/>
      <c r="N56" s="21"/>
      <c r="O56" s="21"/>
      <c r="P56" s="21"/>
      <c r="Q56" s="21"/>
      <c r="R56" s="21"/>
      <c r="S56" s="21"/>
      <c r="T56" s="21"/>
      <c r="U56" s="21"/>
      <c r="V56" s="21"/>
      <c r="W56" s="21"/>
      <c r="X56" s="17"/>
      <c r="Y56" s="17"/>
      <c r="Z56" s="17"/>
      <c r="AA56" s="17"/>
      <c r="AB56" s="17"/>
      <c r="AC56" s="17"/>
      <c r="AD56" s="17"/>
      <c r="AE56" s="17"/>
      <c r="AF56" s="17"/>
      <c r="AG56" s="17"/>
      <c r="AH56" s="17"/>
      <c r="AI56" s="17"/>
      <c r="AJ56" s="17"/>
      <c r="AK56" s="17"/>
      <c r="AL56" s="17"/>
    </row>
    <row r="57" spans="1:38" x14ac:dyDescent="0.3">
      <c r="A57" s="23"/>
      <c r="B57" s="21"/>
      <c r="C57" s="21"/>
      <c r="D57" s="21"/>
      <c r="E57" s="21"/>
      <c r="F57" s="21"/>
      <c r="G57" s="21"/>
      <c r="H57" s="21"/>
      <c r="I57" s="24"/>
      <c r="J57" s="21"/>
      <c r="K57" s="21"/>
      <c r="L57" s="22"/>
      <c r="M57" s="21"/>
      <c r="N57" s="21"/>
      <c r="O57" s="21"/>
      <c r="P57" s="21"/>
      <c r="Q57" s="21"/>
      <c r="R57" s="21"/>
      <c r="S57" s="21"/>
      <c r="T57" s="21"/>
      <c r="U57" s="21"/>
      <c r="V57" s="21"/>
      <c r="W57" s="21"/>
      <c r="X57" s="17"/>
      <c r="Y57" s="17"/>
      <c r="Z57" s="17"/>
      <c r="AA57" s="17"/>
      <c r="AB57" s="17"/>
      <c r="AC57" s="17"/>
      <c r="AD57" s="17"/>
      <c r="AE57" s="17"/>
      <c r="AF57" s="17"/>
      <c r="AG57" s="17"/>
      <c r="AH57" s="17"/>
      <c r="AI57" s="17"/>
      <c r="AJ57" s="17"/>
      <c r="AK57" s="17"/>
      <c r="AL57" s="17"/>
    </row>
    <row r="58" spans="1:38" x14ac:dyDescent="0.3">
      <c r="A58" s="23"/>
      <c r="B58" s="21"/>
      <c r="C58" s="21"/>
      <c r="D58" s="21"/>
      <c r="E58" s="21"/>
      <c r="F58" s="21"/>
      <c r="G58" s="21"/>
      <c r="H58" s="21"/>
      <c r="I58" s="24"/>
      <c r="J58" s="21"/>
      <c r="K58" s="21"/>
      <c r="L58" s="22"/>
      <c r="M58" s="21"/>
      <c r="N58" s="21"/>
      <c r="O58" s="21"/>
      <c r="P58" s="21"/>
      <c r="Q58" s="21"/>
      <c r="R58" s="21"/>
      <c r="S58" s="21"/>
      <c r="T58" s="21"/>
      <c r="U58" s="21"/>
      <c r="V58" s="21"/>
      <c r="W58" s="21"/>
      <c r="X58" s="17"/>
      <c r="Y58" s="17"/>
      <c r="Z58" s="17"/>
      <c r="AA58" s="17"/>
      <c r="AB58" s="17"/>
      <c r="AC58" s="17"/>
      <c r="AD58" s="17"/>
      <c r="AE58" s="17"/>
      <c r="AF58" s="17"/>
      <c r="AG58" s="17"/>
      <c r="AH58" s="17"/>
      <c r="AI58" s="17"/>
      <c r="AJ58" s="17"/>
      <c r="AK58" s="17"/>
      <c r="AL58" s="17"/>
    </row>
    <row r="59" spans="1:38" x14ac:dyDescent="0.3">
      <c r="A59" s="23"/>
      <c r="B59" s="21"/>
      <c r="C59" s="21"/>
      <c r="D59" s="21"/>
      <c r="E59" s="21"/>
      <c r="F59" s="21"/>
      <c r="G59" s="21"/>
      <c r="H59" s="21"/>
      <c r="I59" s="24"/>
      <c r="J59" s="21"/>
      <c r="K59" s="21"/>
      <c r="L59" s="22"/>
      <c r="M59" s="21"/>
      <c r="N59" s="21"/>
      <c r="O59" s="21"/>
      <c r="P59" s="21"/>
      <c r="Q59" s="21"/>
      <c r="R59" s="21"/>
      <c r="S59" s="21"/>
      <c r="T59" s="21"/>
      <c r="U59" s="21"/>
      <c r="V59" s="21"/>
      <c r="W59" s="21"/>
      <c r="X59" s="17"/>
      <c r="Y59" s="17"/>
      <c r="Z59" s="17"/>
      <c r="AA59" s="17"/>
      <c r="AB59" s="17"/>
      <c r="AC59" s="17"/>
      <c r="AD59" s="17"/>
      <c r="AE59" s="17"/>
      <c r="AF59" s="17"/>
      <c r="AG59" s="17"/>
      <c r="AH59" s="17"/>
      <c r="AI59" s="17"/>
      <c r="AJ59" s="17"/>
      <c r="AK59" s="17"/>
      <c r="AL59" s="17"/>
    </row>
    <row r="60" spans="1:38" x14ac:dyDescent="0.3">
      <c r="A60" s="23"/>
      <c r="B60" s="21"/>
      <c r="C60" s="21"/>
      <c r="D60" s="21"/>
      <c r="E60" s="21"/>
      <c r="F60" s="21"/>
      <c r="G60" s="21"/>
      <c r="H60" s="21"/>
      <c r="I60" s="24"/>
      <c r="J60" s="21"/>
      <c r="K60" s="21"/>
      <c r="L60" s="22"/>
      <c r="M60" s="21"/>
      <c r="N60" s="21"/>
      <c r="O60" s="21"/>
      <c r="P60" s="21"/>
      <c r="Q60" s="21"/>
      <c r="R60" s="21"/>
      <c r="S60" s="21"/>
      <c r="T60" s="21"/>
      <c r="U60" s="21"/>
      <c r="V60" s="21"/>
      <c r="W60" s="21"/>
      <c r="X60" s="17"/>
      <c r="Y60" s="17"/>
      <c r="Z60" s="17"/>
      <c r="AA60" s="17"/>
      <c r="AB60" s="17"/>
      <c r="AC60" s="17"/>
      <c r="AD60" s="17"/>
      <c r="AE60" s="17"/>
      <c r="AF60" s="17"/>
      <c r="AG60" s="17"/>
      <c r="AH60" s="17"/>
      <c r="AI60" s="17"/>
      <c r="AJ60" s="17"/>
      <c r="AK60" s="17"/>
      <c r="AL60" s="17"/>
    </row>
    <row r="61" spans="1:38" x14ac:dyDescent="0.3">
      <c r="A61" s="23"/>
      <c r="B61" s="21"/>
      <c r="C61" s="21"/>
      <c r="D61" s="21"/>
      <c r="E61" s="21"/>
      <c r="F61" s="21"/>
      <c r="G61" s="21"/>
      <c r="H61" s="21"/>
      <c r="I61" s="24"/>
      <c r="J61" s="21"/>
      <c r="K61" s="21"/>
      <c r="L61" s="22"/>
      <c r="M61" s="21"/>
      <c r="N61" s="21"/>
      <c r="O61" s="21"/>
      <c r="P61" s="21"/>
      <c r="Q61" s="21"/>
      <c r="R61" s="21"/>
      <c r="S61" s="21"/>
      <c r="T61" s="21"/>
      <c r="U61" s="21"/>
      <c r="V61" s="21"/>
      <c r="W61" s="21"/>
      <c r="X61" s="17"/>
      <c r="Y61" s="17"/>
      <c r="Z61" s="17"/>
      <c r="AA61" s="17"/>
      <c r="AB61" s="17"/>
      <c r="AC61" s="17"/>
      <c r="AD61" s="17"/>
      <c r="AE61" s="17"/>
      <c r="AF61" s="17"/>
      <c r="AG61" s="17"/>
      <c r="AH61" s="17"/>
      <c r="AI61" s="17"/>
      <c r="AJ61" s="17"/>
      <c r="AK61" s="17"/>
      <c r="AL61" s="17"/>
    </row>
    <row r="62" spans="1:38" x14ac:dyDescent="0.3">
      <c r="A62" s="23"/>
      <c r="B62" s="21"/>
      <c r="C62" s="21"/>
      <c r="D62" s="21"/>
      <c r="E62" s="21"/>
      <c r="F62" s="21"/>
      <c r="G62" s="21"/>
      <c r="H62" s="21"/>
      <c r="I62" s="24"/>
      <c r="J62" s="21"/>
      <c r="K62" s="21"/>
      <c r="L62" s="22"/>
      <c r="M62" s="21"/>
      <c r="N62" s="21"/>
      <c r="O62" s="21"/>
      <c r="P62" s="21"/>
      <c r="Q62" s="21"/>
      <c r="R62" s="21"/>
      <c r="S62" s="21"/>
      <c r="T62" s="21"/>
      <c r="U62" s="21"/>
      <c r="V62" s="21"/>
      <c r="W62" s="21"/>
      <c r="X62" s="17"/>
      <c r="Y62" s="17"/>
      <c r="Z62" s="17"/>
      <c r="AA62" s="17"/>
      <c r="AB62" s="17"/>
      <c r="AC62" s="17"/>
      <c r="AD62" s="17"/>
      <c r="AE62" s="17"/>
      <c r="AF62" s="17"/>
      <c r="AG62" s="17"/>
      <c r="AH62" s="17"/>
      <c r="AI62" s="17"/>
      <c r="AJ62" s="17"/>
      <c r="AK62" s="17"/>
      <c r="AL62" s="17"/>
    </row>
    <row r="63" spans="1:38" x14ac:dyDescent="0.3">
      <c r="A63" s="23"/>
      <c r="B63" s="21"/>
      <c r="C63" s="21"/>
      <c r="D63" s="21"/>
      <c r="E63" s="21"/>
      <c r="F63" s="21"/>
      <c r="G63" s="21"/>
      <c r="H63" s="21"/>
      <c r="I63" s="24"/>
      <c r="J63" s="21"/>
      <c r="K63" s="21"/>
      <c r="L63" s="22"/>
      <c r="M63" s="21"/>
      <c r="N63" s="21"/>
      <c r="O63" s="21"/>
      <c r="P63" s="21"/>
      <c r="Q63" s="21"/>
      <c r="R63" s="21"/>
      <c r="S63" s="21"/>
      <c r="T63" s="21"/>
      <c r="U63" s="21"/>
      <c r="V63" s="21"/>
      <c r="W63" s="21"/>
      <c r="X63" s="17"/>
      <c r="Y63" s="17"/>
      <c r="Z63" s="17"/>
      <c r="AA63" s="17"/>
      <c r="AB63" s="17"/>
      <c r="AC63" s="17"/>
      <c r="AD63" s="17"/>
      <c r="AE63" s="17"/>
      <c r="AF63" s="17"/>
      <c r="AG63" s="17"/>
      <c r="AH63" s="17"/>
      <c r="AI63" s="17"/>
      <c r="AJ63" s="17"/>
      <c r="AK63" s="17"/>
      <c r="AL63" s="17"/>
    </row>
    <row r="64" spans="1:38" x14ac:dyDescent="0.3">
      <c r="A64" s="23"/>
      <c r="B64" s="21"/>
      <c r="C64" s="21"/>
      <c r="D64" s="21"/>
      <c r="E64" s="21"/>
      <c r="F64" s="21"/>
      <c r="G64" s="21"/>
      <c r="H64" s="21"/>
      <c r="I64" s="24"/>
      <c r="J64" s="21"/>
      <c r="K64" s="21"/>
      <c r="L64" s="22"/>
      <c r="M64" s="21"/>
      <c r="N64" s="21"/>
      <c r="O64" s="21"/>
      <c r="P64" s="21"/>
      <c r="Q64" s="21"/>
      <c r="R64" s="21"/>
      <c r="S64" s="21"/>
      <c r="T64" s="21"/>
      <c r="U64" s="21"/>
      <c r="V64" s="21"/>
      <c r="W64" s="21"/>
      <c r="X64" s="17"/>
      <c r="Y64" s="17"/>
      <c r="Z64" s="17"/>
      <c r="AA64" s="17"/>
      <c r="AB64" s="17"/>
      <c r="AC64" s="17"/>
      <c r="AD64" s="17"/>
      <c r="AE64" s="17"/>
      <c r="AF64" s="17"/>
      <c r="AG64" s="17"/>
      <c r="AH64" s="17"/>
      <c r="AI64" s="17"/>
      <c r="AJ64" s="17"/>
      <c r="AK64" s="17"/>
      <c r="AL64" s="17"/>
    </row>
    <row r="65" spans="1:38" x14ac:dyDescent="0.3">
      <c r="A65" s="23"/>
      <c r="B65" s="21"/>
      <c r="C65" s="21"/>
      <c r="D65" s="21"/>
      <c r="E65" s="21"/>
      <c r="F65" s="21"/>
      <c r="G65" s="21"/>
      <c r="H65" s="21"/>
      <c r="I65" s="24"/>
      <c r="J65" s="21"/>
      <c r="K65" s="21"/>
      <c r="L65" s="22"/>
      <c r="M65" s="21"/>
      <c r="N65" s="21"/>
      <c r="O65" s="21"/>
      <c r="P65" s="21"/>
      <c r="Q65" s="21"/>
      <c r="R65" s="21"/>
      <c r="S65" s="21"/>
      <c r="T65" s="21"/>
      <c r="U65" s="21"/>
      <c r="V65" s="21"/>
      <c r="W65" s="21"/>
      <c r="X65" s="17"/>
      <c r="Y65" s="17"/>
      <c r="Z65" s="17"/>
      <c r="AA65" s="17"/>
      <c r="AB65" s="17"/>
      <c r="AC65" s="17"/>
      <c r="AD65" s="17"/>
      <c r="AE65" s="17"/>
      <c r="AF65" s="17"/>
      <c r="AG65" s="17"/>
      <c r="AH65" s="17"/>
      <c r="AI65" s="17"/>
      <c r="AJ65" s="17"/>
      <c r="AK65" s="17"/>
      <c r="AL65" s="17"/>
    </row>
    <row r="66" spans="1:38" x14ac:dyDescent="0.3">
      <c r="A66" s="25"/>
      <c r="B66" s="21"/>
      <c r="C66" s="21"/>
      <c r="D66" s="21"/>
      <c r="E66" s="21"/>
      <c r="F66" s="21"/>
      <c r="G66" s="21"/>
      <c r="H66" s="21"/>
      <c r="I66" s="24"/>
      <c r="J66" s="21"/>
      <c r="K66" s="21"/>
      <c r="L66" s="22"/>
      <c r="M66" s="21"/>
      <c r="N66" s="21"/>
      <c r="O66" s="21"/>
      <c r="P66" s="21"/>
      <c r="Q66" s="21"/>
      <c r="R66" s="21"/>
      <c r="S66" s="21"/>
      <c r="T66" s="21"/>
      <c r="U66" s="21"/>
      <c r="V66" s="21"/>
      <c r="W66" s="21"/>
      <c r="X66" s="17"/>
      <c r="Y66" s="17"/>
      <c r="Z66" s="17"/>
      <c r="AA66" s="17"/>
      <c r="AB66" s="17"/>
      <c r="AC66" s="17"/>
      <c r="AD66" s="17"/>
      <c r="AE66" s="17"/>
      <c r="AF66" s="17"/>
      <c r="AG66" s="17"/>
      <c r="AH66" s="17"/>
      <c r="AI66" s="17"/>
      <c r="AJ66" s="17"/>
      <c r="AK66" s="17"/>
      <c r="AL66" s="17"/>
    </row>
    <row r="67" spans="1:38" x14ac:dyDescent="0.3">
      <c r="B67" s="17"/>
      <c r="C67" s="17"/>
      <c r="D67" s="17"/>
      <c r="E67" s="17"/>
      <c r="F67" s="17"/>
      <c r="G67" s="17"/>
      <c r="H67" s="17"/>
      <c r="I67" s="19"/>
      <c r="J67" s="17"/>
      <c r="K67" s="17"/>
      <c r="L67" s="18"/>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x14ac:dyDescent="0.3">
      <c r="B68" s="17"/>
      <c r="C68" s="17"/>
      <c r="D68" s="17"/>
      <c r="E68" s="17"/>
      <c r="F68" s="17"/>
      <c r="G68" s="17"/>
      <c r="H68" s="17"/>
      <c r="I68" s="19"/>
      <c r="J68" s="17"/>
      <c r="K68" s="17"/>
      <c r="L68" s="18"/>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x14ac:dyDescent="0.3">
      <c r="B69" s="17"/>
      <c r="C69" s="17"/>
      <c r="D69" s="17"/>
      <c r="E69" s="17"/>
      <c r="F69" s="17"/>
      <c r="G69" s="17"/>
      <c r="H69" s="17"/>
      <c r="I69" s="19"/>
      <c r="J69" s="17"/>
      <c r="K69" s="17"/>
      <c r="L69" s="18"/>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x14ac:dyDescent="0.3">
      <c r="B70" s="17"/>
      <c r="C70" s="17"/>
      <c r="D70" s="17"/>
      <c r="E70" s="17"/>
      <c r="F70" s="17"/>
      <c r="G70" s="17"/>
      <c r="H70" s="17"/>
      <c r="I70" s="19"/>
      <c r="J70" s="17"/>
      <c r="K70" s="17"/>
      <c r="L70" s="18"/>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x14ac:dyDescent="0.3">
      <c r="B71" s="17"/>
      <c r="C71" s="17"/>
      <c r="D71" s="17"/>
      <c r="E71" s="17"/>
      <c r="F71" s="17"/>
      <c r="G71" s="17"/>
      <c r="H71" s="17"/>
      <c r="I71" s="19"/>
      <c r="J71" s="17"/>
      <c r="K71" s="17"/>
      <c r="L71" s="18"/>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x14ac:dyDescent="0.3">
      <c r="B72" s="17"/>
      <c r="C72" s="17"/>
      <c r="D72" s="17"/>
      <c r="E72" s="17"/>
      <c r="F72" s="17"/>
      <c r="G72" s="17"/>
      <c r="H72" s="17"/>
      <c r="I72" s="19"/>
      <c r="J72" s="17"/>
      <c r="K72" s="17"/>
      <c r="L72" s="18"/>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x14ac:dyDescent="0.3">
      <c r="B73" s="17"/>
      <c r="C73" s="17"/>
      <c r="D73" s="17"/>
      <c r="E73" s="17"/>
      <c r="F73" s="17"/>
      <c r="G73" s="17"/>
      <c r="H73" s="17"/>
      <c r="I73" s="19"/>
      <c r="J73" s="17"/>
      <c r="K73" s="17"/>
      <c r="L73" s="18"/>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x14ac:dyDescent="0.3">
      <c r="B74" s="17"/>
      <c r="C74" s="17"/>
      <c r="D74" s="17"/>
      <c r="E74" s="17"/>
      <c r="F74" s="17"/>
      <c r="G74" s="17"/>
      <c r="H74" s="17"/>
      <c r="I74" s="19"/>
      <c r="J74" s="17"/>
      <c r="K74" s="17"/>
      <c r="L74" s="18"/>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x14ac:dyDescent="0.3">
      <c r="B75" s="17"/>
      <c r="C75" s="17"/>
      <c r="D75" s="17"/>
      <c r="E75" s="17"/>
      <c r="F75" s="17"/>
      <c r="G75" s="17"/>
      <c r="H75" s="17"/>
      <c r="I75" s="19"/>
      <c r="J75" s="17"/>
      <c r="K75" s="17"/>
      <c r="L75" s="18"/>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x14ac:dyDescent="0.3">
      <c r="B76" s="17"/>
      <c r="C76" s="17"/>
      <c r="D76" s="17"/>
      <c r="E76" s="17"/>
      <c r="F76" s="17"/>
      <c r="G76" s="17"/>
      <c r="H76" s="17"/>
      <c r="I76" s="19"/>
      <c r="J76" s="17"/>
      <c r="K76" s="17"/>
      <c r="L76" s="18"/>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x14ac:dyDescent="0.3">
      <c r="B77" s="17"/>
      <c r="C77" s="17"/>
      <c r="D77" s="17"/>
      <c r="E77" s="17"/>
      <c r="F77" s="17"/>
      <c r="G77" s="17"/>
      <c r="H77" s="17"/>
      <c r="I77" s="19"/>
      <c r="J77" s="17"/>
      <c r="K77" s="17"/>
      <c r="L77" s="18"/>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x14ac:dyDescent="0.3">
      <c r="B78" s="17"/>
      <c r="C78" s="17"/>
      <c r="D78" s="17"/>
      <c r="E78" s="17"/>
      <c r="F78" s="17"/>
      <c r="G78" s="17"/>
      <c r="H78" s="17"/>
      <c r="I78" s="19"/>
      <c r="J78" s="17"/>
      <c r="K78" s="17"/>
      <c r="L78" s="18"/>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x14ac:dyDescent="0.3">
      <c r="B79" s="17"/>
      <c r="C79" s="17"/>
      <c r="D79" s="17"/>
      <c r="E79" s="17"/>
      <c r="F79" s="17"/>
      <c r="G79" s="17"/>
      <c r="H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x14ac:dyDescent="0.3">
      <c r="B80" s="17"/>
      <c r="C80" s="17"/>
      <c r="D80" s="17"/>
      <c r="E80" s="17"/>
      <c r="F80" s="17"/>
      <c r="G80" s="17"/>
      <c r="H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2:38" x14ac:dyDescent="0.3">
      <c r="B81" s="17"/>
      <c r="C81" s="17"/>
      <c r="D81" s="17"/>
      <c r="E81" s="17"/>
      <c r="F81" s="17"/>
      <c r="G81" s="17"/>
      <c r="H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2:38" x14ac:dyDescent="0.3">
      <c r="B82" s="17"/>
      <c r="C82" s="17"/>
      <c r="D82" s="17"/>
      <c r="E82" s="17"/>
      <c r="F82" s="17"/>
      <c r="G82" s="17"/>
      <c r="H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2:38" x14ac:dyDescent="0.3">
      <c r="B83" s="17"/>
      <c r="C83" s="17"/>
      <c r="D83" s="17"/>
      <c r="E83" s="17"/>
      <c r="F83" s="17"/>
      <c r="G83" s="17"/>
      <c r="H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2:38" x14ac:dyDescent="0.3">
      <c r="B84" s="17"/>
      <c r="C84" s="17"/>
      <c r="D84" s="17"/>
      <c r="E84" s="17"/>
      <c r="F84" s="17"/>
      <c r="G84" s="17"/>
      <c r="H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2:38" x14ac:dyDescent="0.3">
      <c r="B85" s="17"/>
      <c r="C85" s="17"/>
      <c r="D85" s="17"/>
      <c r="E85" s="17"/>
      <c r="F85" s="17"/>
      <c r="G85" s="17"/>
      <c r="H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2:38" x14ac:dyDescent="0.3">
      <c r="B86" s="17"/>
      <c r="C86" s="17"/>
      <c r="D86" s="17"/>
      <c r="E86" s="17"/>
      <c r="F86" s="17"/>
      <c r="G86" s="17"/>
      <c r="H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2:38" x14ac:dyDescent="0.3">
      <c r="B87" s="17"/>
      <c r="C87" s="17"/>
      <c r="D87" s="17"/>
      <c r="E87" s="17"/>
      <c r="F87" s="17"/>
      <c r="G87" s="17"/>
      <c r="H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spans="2:38" x14ac:dyDescent="0.3">
      <c r="B88" s="17"/>
      <c r="C88" s="17"/>
      <c r="D88" s="17"/>
      <c r="E88" s="17"/>
      <c r="F88" s="17"/>
      <c r="G88" s="17"/>
      <c r="H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spans="2:38" x14ac:dyDescent="0.3">
      <c r="B89" s="17"/>
      <c r="C89" s="17"/>
      <c r="D89" s="17"/>
      <c r="E89" s="17"/>
      <c r="F89" s="17"/>
      <c r="G89" s="17"/>
      <c r="H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spans="2:38" x14ac:dyDescent="0.3">
      <c r="B90" s="17"/>
      <c r="C90" s="17"/>
      <c r="D90" s="17"/>
      <c r="E90" s="17"/>
      <c r="F90" s="17"/>
      <c r="G90" s="17"/>
      <c r="H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spans="2:38" x14ac:dyDescent="0.3">
      <c r="B91" s="17"/>
      <c r="C91" s="17"/>
      <c r="D91" s="17"/>
      <c r="E91" s="17"/>
      <c r="F91" s="17"/>
      <c r="G91" s="17"/>
      <c r="H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spans="2:38" x14ac:dyDescent="0.3">
      <c r="B92" s="17"/>
      <c r="C92" s="17"/>
      <c r="D92" s="17"/>
      <c r="E92" s="17"/>
      <c r="F92" s="17"/>
      <c r="G92" s="17"/>
      <c r="H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spans="2:38" x14ac:dyDescent="0.3">
      <c r="B93" s="17"/>
      <c r="C93" s="17"/>
      <c r="D93" s="17"/>
      <c r="E93" s="17"/>
      <c r="F93" s="17"/>
      <c r="G93" s="17"/>
      <c r="H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spans="2:38" x14ac:dyDescent="0.3">
      <c r="B94" s="17"/>
      <c r="C94" s="17"/>
      <c r="D94" s="17"/>
      <c r="E94" s="17"/>
      <c r="F94" s="17"/>
      <c r="G94" s="17"/>
      <c r="H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spans="2:38" x14ac:dyDescent="0.3">
      <c r="B95" s="17"/>
      <c r="C95" s="17"/>
      <c r="D95" s="17"/>
      <c r="E95" s="17"/>
      <c r="F95" s="17"/>
      <c r="G95" s="17"/>
      <c r="H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spans="2:38" x14ac:dyDescent="0.3">
      <c r="B96" s="17"/>
      <c r="C96" s="17"/>
      <c r="D96" s="17"/>
      <c r="E96" s="17"/>
      <c r="F96" s="17"/>
      <c r="G96" s="17"/>
      <c r="H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spans="2:38" x14ac:dyDescent="0.3">
      <c r="B97" s="17"/>
      <c r="C97" s="17"/>
      <c r="D97" s="17"/>
      <c r="E97" s="17"/>
      <c r="F97" s="17"/>
      <c r="G97" s="17"/>
      <c r="H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spans="2:38" x14ac:dyDescent="0.3">
      <c r="B98" s="17"/>
      <c r="C98" s="17"/>
      <c r="D98" s="17"/>
      <c r="E98" s="17"/>
      <c r="F98" s="17"/>
      <c r="G98" s="17"/>
      <c r="H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spans="2:38" x14ac:dyDescent="0.3">
      <c r="B99" s="17"/>
      <c r="C99" s="17"/>
      <c r="D99" s="17"/>
      <c r="E99" s="17"/>
      <c r="F99" s="17"/>
      <c r="G99" s="17"/>
      <c r="H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spans="2:38" x14ac:dyDescent="0.3">
      <c r="B100" s="17"/>
      <c r="C100" s="17"/>
      <c r="D100" s="17"/>
      <c r="E100" s="17"/>
      <c r="F100" s="17"/>
      <c r="G100" s="17"/>
      <c r="H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spans="2:38" x14ac:dyDescent="0.3">
      <c r="B101" s="17"/>
      <c r="C101" s="17"/>
      <c r="D101" s="17"/>
      <c r="E101" s="17"/>
      <c r="F101" s="17"/>
      <c r="G101" s="17"/>
      <c r="H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spans="2:38" x14ac:dyDescent="0.3">
      <c r="B102" s="17"/>
      <c r="C102" s="17"/>
      <c r="D102" s="17"/>
      <c r="E102" s="17"/>
      <c r="F102" s="17"/>
      <c r="G102" s="17"/>
      <c r="H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spans="2:38" x14ac:dyDescent="0.3">
      <c r="B103" s="17"/>
      <c r="C103" s="17"/>
      <c r="D103" s="17"/>
      <c r="E103" s="17"/>
      <c r="F103" s="17"/>
      <c r="G103" s="17"/>
      <c r="H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spans="2:38" x14ac:dyDescent="0.3">
      <c r="B104" s="17"/>
      <c r="C104" s="17"/>
      <c r="D104" s="17"/>
      <c r="E104" s="17"/>
      <c r="F104" s="17"/>
      <c r="G104" s="17"/>
      <c r="H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spans="2:38" x14ac:dyDescent="0.3">
      <c r="B105" s="17"/>
      <c r="C105" s="17"/>
      <c r="D105" s="17"/>
      <c r="E105" s="17"/>
      <c r="F105" s="17"/>
      <c r="G105" s="17"/>
      <c r="H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spans="2:38" x14ac:dyDescent="0.3">
      <c r="B106" s="17"/>
      <c r="C106" s="17"/>
      <c r="D106" s="17"/>
      <c r="E106" s="17"/>
      <c r="F106" s="17"/>
      <c r="G106" s="17"/>
      <c r="H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spans="2:38" x14ac:dyDescent="0.3">
      <c r="B107" s="17"/>
      <c r="C107" s="17"/>
      <c r="D107" s="17"/>
      <c r="E107" s="17"/>
      <c r="F107" s="17"/>
      <c r="G107" s="17"/>
      <c r="H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spans="2:38" x14ac:dyDescent="0.3">
      <c r="B108" s="17"/>
      <c r="C108" s="17"/>
      <c r="D108" s="17"/>
      <c r="E108" s="17"/>
      <c r="F108" s="17"/>
      <c r="G108" s="17"/>
      <c r="H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spans="2:38" x14ac:dyDescent="0.3">
      <c r="B109" s="17"/>
      <c r="C109" s="17"/>
      <c r="D109" s="17"/>
      <c r="E109" s="17"/>
      <c r="F109" s="17"/>
      <c r="G109" s="17"/>
      <c r="H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spans="2:38" x14ac:dyDescent="0.3">
      <c r="B110" s="17"/>
      <c r="C110" s="17"/>
      <c r="D110" s="17"/>
      <c r="E110" s="17"/>
      <c r="F110" s="17"/>
      <c r="G110" s="17"/>
      <c r="H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spans="2:38" x14ac:dyDescent="0.3">
      <c r="B111" s="17"/>
      <c r="C111" s="17"/>
      <c r="D111" s="17"/>
      <c r="E111" s="17"/>
      <c r="F111" s="17"/>
      <c r="G111" s="17"/>
      <c r="H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spans="2:38" x14ac:dyDescent="0.3">
      <c r="B112" s="17"/>
      <c r="C112" s="17"/>
      <c r="D112" s="17"/>
      <c r="E112" s="17"/>
      <c r="F112" s="17"/>
      <c r="G112" s="17"/>
      <c r="H112" s="17"/>
    </row>
    <row r="113" spans="2:8" x14ac:dyDescent="0.3">
      <c r="B113" s="17"/>
      <c r="C113" s="17"/>
      <c r="D113" s="17"/>
      <c r="E113" s="17"/>
      <c r="F113" s="17"/>
      <c r="G113" s="17"/>
      <c r="H113" s="17"/>
    </row>
    <row r="114" spans="2:8" x14ac:dyDescent="0.3">
      <c r="B114" s="17"/>
      <c r="C114" s="17"/>
      <c r="D114" s="17"/>
      <c r="E114" s="17"/>
      <c r="F114" s="17"/>
      <c r="G114" s="17"/>
      <c r="H114" s="17"/>
    </row>
    <row r="115" spans="2:8" x14ac:dyDescent="0.3">
      <c r="B115" s="17"/>
      <c r="C115" s="17"/>
      <c r="D115" s="17"/>
      <c r="E115" s="17"/>
      <c r="F115" s="17"/>
      <c r="G115" s="17"/>
      <c r="H115" s="17"/>
    </row>
    <row r="116" spans="2:8" x14ac:dyDescent="0.3">
      <c r="B116" s="17"/>
      <c r="C116" s="17"/>
      <c r="D116" s="17"/>
      <c r="E116" s="17"/>
      <c r="F116" s="17"/>
      <c r="G116" s="17"/>
      <c r="H116" s="17"/>
    </row>
    <row r="117" spans="2:8" x14ac:dyDescent="0.3">
      <c r="B117" s="17"/>
      <c r="C117" s="17"/>
      <c r="D117" s="17"/>
      <c r="E117" s="17"/>
      <c r="F117" s="17"/>
      <c r="G117" s="17"/>
      <c r="H117" s="17"/>
    </row>
    <row r="118" spans="2:8" x14ac:dyDescent="0.3">
      <c r="B118" s="17"/>
      <c r="C118" s="17"/>
      <c r="D118" s="17"/>
      <c r="E118" s="17"/>
      <c r="F118" s="17"/>
      <c r="G118" s="17"/>
      <c r="H118" s="17"/>
    </row>
    <row r="119" spans="2:8" x14ac:dyDescent="0.3">
      <c r="B119" s="17"/>
      <c r="C119" s="17"/>
      <c r="D119" s="17"/>
      <c r="E119" s="17"/>
      <c r="F119" s="17"/>
      <c r="G119" s="17"/>
      <c r="H119" s="17"/>
    </row>
    <row r="120" spans="2:8" x14ac:dyDescent="0.3">
      <c r="B120" s="17"/>
      <c r="C120" s="17"/>
      <c r="D120" s="17"/>
      <c r="E120" s="17"/>
      <c r="F120" s="17"/>
      <c r="G120" s="17"/>
      <c r="H120" s="17"/>
    </row>
    <row r="121" spans="2:8" x14ac:dyDescent="0.3">
      <c r="B121" s="17"/>
      <c r="C121" s="17"/>
      <c r="D121" s="17"/>
      <c r="E121" s="17"/>
      <c r="F121" s="17"/>
      <c r="G121" s="17"/>
      <c r="H121" s="17"/>
    </row>
    <row r="122" spans="2:8" x14ac:dyDescent="0.3">
      <c r="B122" s="17"/>
      <c r="C122" s="17"/>
      <c r="D122" s="17"/>
      <c r="E122" s="17"/>
      <c r="F122" s="17"/>
      <c r="G122" s="17"/>
      <c r="H122" s="17"/>
    </row>
    <row r="123" spans="2:8" x14ac:dyDescent="0.3">
      <c r="B123" s="17"/>
      <c r="C123" s="17"/>
      <c r="D123" s="17"/>
      <c r="E123" s="17"/>
      <c r="F123" s="17"/>
      <c r="G123" s="17"/>
      <c r="H123" s="17"/>
    </row>
    <row r="124" spans="2:8" x14ac:dyDescent="0.3">
      <c r="B124" s="17"/>
      <c r="C124" s="17"/>
      <c r="D124" s="17"/>
      <c r="E124" s="17"/>
      <c r="F124" s="17"/>
      <c r="G124" s="17"/>
      <c r="H124" s="17"/>
    </row>
    <row r="125" spans="2:8" x14ac:dyDescent="0.3">
      <c r="B125" s="17"/>
      <c r="C125" s="17"/>
      <c r="D125" s="17"/>
      <c r="E125" s="17"/>
      <c r="F125" s="17"/>
      <c r="G125" s="17"/>
      <c r="H125" s="17"/>
    </row>
    <row r="126" spans="2:8" x14ac:dyDescent="0.3">
      <c r="B126" s="17"/>
      <c r="C126" s="17"/>
      <c r="D126" s="17"/>
      <c r="E126" s="17"/>
      <c r="F126" s="17"/>
      <c r="G126" s="17"/>
      <c r="H126" s="17"/>
    </row>
    <row r="127" spans="2:8" x14ac:dyDescent="0.3">
      <c r="B127" s="17"/>
      <c r="C127" s="17"/>
      <c r="D127" s="17"/>
      <c r="E127" s="17"/>
      <c r="F127" s="17"/>
      <c r="G127" s="17"/>
      <c r="H127" s="17"/>
    </row>
    <row r="128" spans="2:8" x14ac:dyDescent="0.3">
      <c r="B128" s="17"/>
      <c r="C128" s="17"/>
      <c r="D128" s="17"/>
      <c r="E128" s="17"/>
      <c r="F128" s="17"/>
      <c r="G128" s="17"/>
      <c r="H128" s="17"/>
    </row>
    <row r="129" spans="2:8" x14ac:dyDescent="0.3">
      <c r="B129" s="17"/>
      <c r="C129" s="17"/>
      <c r="D129" s="17"/>
      <c r="E129" s="17"/>
      <c r="F129" s="17"/>
      <c r="G129" s="17"/>
      <c r="H129" s="17"/>
    </row>
    <row r="130" spans="2:8" x14ac:dyDescent="0.3">
      <c r="B130" s="17"/>
      <c r="C130" s="17"/>
      <c r="D130" s="17"/>
      <c r="E130" s="17"/>
      <c r="F130" s="17"/>
      <c r="G130" s="17"/>
      <c r="H130" s="17"/>
    </row>
    <row r="131" spans="2:8" x14ac:dyDescent="0.3">
      <c r="B131" s="17"/>
      <c r="C131" s="17"/>
      <c r="D131" s="17"/>
      <c r="E131" s="17"/>
      <c r="F131" s="17"/>
      <c r="G131" s="17"/>
      <c r="H131" s="17"/>
    </row>
    <row r="132" spans="2:8" x14ac:dyDescent="0.3">
      <c r="B132" s="17"/>
      <c r="C132" s="17"/>
      <c r="D132" s="17"/>
      <c r="E132" s="17"/>
      <c r="F132" s="17"/>
      <c r="G132" s="17"/>
      <c r="H132" s="17"/>
    </row>
    <row r="133" spans="2:8" x14ac:dyDescent="0.3">
      <c r="B133" s="17"/>
      <c r="C133" s="17"/>
      <c r="D133" s="17"/>
      <c r="E133" s="17"/>
      <c r="F133" s="17"/>
      <c r="G133" s="17"/>
      <c r="H133" s="17"/>
    </row>
    <row r="134" spans="2:8" x14ac:dyDescent="0.3">
      <c r="B134" s="17"/>
      <c r="C134" s="17"/>
      <c r="D134" s="17"/>
      <c r="E134" s="17"/>
      <c r="F134" s="17"/>
      <c r="G134" s="17"/>
      <c r="H134" s="17"/>
    </row>
    <row r="135" spans="2:8" x14ac:dyDescent="0.3">
      <c r="B135" s="17"/>
      <c r="C135" s="17"/>
      <c r="D135" s="17"/>
      <c r="E135" s="17"/>
      <c r="F135" s="17"/>
      <c r="G135" s="17"/>
      <c r="H135" s="17"/>
    </row>
    <row r="136" spans="2:8" x14ac:dyDescent="0.3">
      <c r="B136" s="17"/>
      <c r="C136" s="17"/>
      <c r="D136" s="17"/>
      <c r="E136" s="17"/>
      <c r="F136" s="17"/>
      <c r="G136" s="17"/>
      <c r="H136" s="17"/>
    </row>
    <row r="137" spans="2:8" x14ac:dyDescent="0.3">
      <c r="B137" s="17"/>
      <c r="C137" s="17"/>
      <c r="D137" s="17"/>
      <c r="E137" s="17"/>
      <c r="F137" s="17"/>
      <c r="G137" s="17"/>
      <c r="H137" s="17"/>
    </row>
    <row r="138" spans="2:8" x14ac:dyDescent="0.3">
      <c r="B138" s="17"/>
      <c r="C138" s="17"/>
      <c r="D138" s="17"/>
      <c r="E138" s="17"/>
      <c r="F138" s="17"/>
      <c r="G138" s="17"/>
      <c r="H138" s="17"/>
    </row>
    <row r="139" spans="2:8" x14ac:dyDescent="0.3">
      <c r="B139" s="17"/>
      <c r="C139" s="17"/>
      <c r="D139" s="17"/>
      <c r="E139" s="17"/>
      <c r="F139" s="17"/>
      <c r="G139" s="17"/>
      <c r="H139" s="17"/>
    </row>
    <row r="140" spans="2:8" x14ac:dyDescent="0.3">
      <c r="B140" s="17"/>
      <c r="C140" s="17"/>
      <c r="D140" s="17"/>
      <c r="E140" s="17"/>
      <c r="F140" s="17"/>
      <c r="G140" s="17"/>
      <c r="H140" s="17"/>
    </row>
    <row r="141" spans="2:8" x14ac:dyDescent="0.3">
      <c r="B141" s="17"/>
      <c r="C141" s="17"/>
      <c r="D141" s="17"/>
      <c r="E141" s="17"/>
      <c r="F141" s="17"/>
      <c r="G141" s="17"/>
      <c r="H141" s="17"/>
    </row>
    <row r="142" spans="2:8" x14ac:dyDescent="0.3">
      <c r="B142" s="17"/>
      <c r="C142" s="17"/>
      <c r="D142" s="17"/>
      <c r="E142" s="17"/>
      <c r="F142" s="17"/>
      <c r="G142" s="17"/>
      <c r="H142" s="17"/>
    </row>
    <row r="143" spans="2:8" x14ac:dyDescent="0.3">
      <c r="B143" s="17"/>
      <c r="C143" s="17"/>
      <c r="D143" s="17"/>
      <c r="E143" s="17"/>
      <c r="F143" s="17"/>
      <c r="G143" s="17"/>
      <c r="H143" s="17"/>
    </row>
    <row r="144" spans="2:8" x14ac:dyDescent="0.3">
      <c r="B144" s="17"/>
      <c r="C144" s="17"/>
      <c r="D144" s="17"/>
      <c r="E144" s="17"/>
      <c r="F144" s="17"/>
      <c r="G144" s="17"/>
      <c r="H144" s="17"/>
    </row>
    <row r="145" spans="2:8" x14ac:dyDescent="0.3">
      <c r="B145" s="17"/>
      <c r="C145" s="17"/>
      <c r="D145" s="17"/>
      <c r="E145" s="17"/>
      <c r="F145" s="17"/>
      <c r="G145" s="17"/>
      <c r="H145" s="17"/>
    </row>
    <row r="146" spans="2:8" x14ac:dyDescent="0.3">
      <c r="B146" s="17"/>
      <c r="C146" s="17"/>
      <c r="D146" s="17"/>
      <c r="E146" s="17"/>
      <c r="F146" s="17"/>
      <c r="G146" s="17"/>
      <c r="H146" s="17"/>
    </row>
    <row r="147" spans="2:8" x14ac:dyDescent="0.3">
      <c r="B147" s="17"/>
      <c r="C147" s="17"/>
      <c r="D147" s="17"/>
      <c r="E147" s="17"/>
      <c r="F147" s="17"/>
      <c r="G147" s="17"/>
      <c r="H147" s="17"/>
    </row>
    <row r="148" spans="2:8" x14ac:dyDescent="0.3">
      <c r="B148" s="17"/>
      <c r="C148" s="17"/>
      <c r="D148" s="17"/>
      <c r="E148" s="17"/>
      <c r="F148" s="17"/>
      <c r="G148" s="17"/>
      <c r="H148" s="17"/>
    </row>
    <row r="149" spans="2:8" x14ac:dyDescent="0.3">
      <c r="B149" s="17"/>
      <c r="C149" s="17"/>
      <c r="D149" s="17"/>
      <c r="E149" s="17"/>
      <c r="F149" s="17"/>
      <c r="G149" s="17"/>
      <c r="H149" s="17"/>
    </row>
    <row r="150" spans="2:8" x14ac:dyDescent="0.3">
      <c r="B150" s="17"/>
      <c r="C150" s="17"/>
      <c r="D150" s="17"/>
      <c r="E150" s="17"/>
      <c r="F150" s="17"/>
      <c r="G150" s="17"/>
      <c r="H150" s="17"/>
    </row>
    <row r="151" spans="2:8" x14ac:dyDescent="0.3">
      <c r="B151" s="17"/>
      <c r="C151" s="17"/>
      <c r="D151" s="17"/>
      <c r="E151" s="17"/>
      <c r="F151" s="17"/>
      <c r="G151" s="17"/>
      <c r="H151" s="17"/>
    </row>
    <row r="152" spans="2:8" x14ac:dyDescent="0.3">
      <c r="B152" s="17"/>
      <c r="C152" s="17"/>
      <c r="D152" s="17"/>
      <c r="E152" s="17"/>
      <c r="F152" s="17"/>
      <c r="G152" s="17"/>
      <c r="H152" s="17"/>
    </row>
    <row r="153" spans="2:8" x14ac:dyDescent="0.3">
      <c r="B153" s="17"/>
      <c r="C153" s="17"/>
      <c r="D153" s="17"/>
      <c r="E153" s="17"/>
      <c r="F153" s="17"/>
      <c r="G153" s="17"/>
      <c r="H153" s="17"/>
    </row>
    <row r="154" spans="2:8" x14ac:dyDescent="0.3">
      <c r="B154" s="17"/>
      <c r="C154" s="17"/>
      <c r="D154" s="17"/>
      <c r="E154" s="17"/>
      <c r="F154" s="17"/>
      <c r="G154" s="17"/>
      <c r="H154" s="17"/>
    </row>
    <row r="155" spans="2:8" x14ac:dyDescent="0.3">
      <c r="B155" s="17"/>
      <c r="C155" s="17"/>
      <c r="D155" s="17"/>
      <c r="E155" s="17"/>
      <c r="F155" s="17"/>
      <c r="G155" s="17"/>
      <c r="H155" s="17"/>
    </row>
    <row r="156" spans="2:8" x14ac:dyDescent="0.3">
      <c r="B156" s="17"/>
      <c r="C156" s="17"/>
      <c r="D156" s="17"/>
      <c r="E156" s="17"/>
      <c r="F156" s="17"/>
      <c r="G156" s="17"/>
      <c r="H156" s="17"/>
    </row>
    <row r="157" spans="2:8" x14ac:dyDescent="0.3">
      <c r="B157" s="17"/>
      <c r="C157" s="17"/>
      <c r="D157" s="17"/>
      <c r="E157" s="17"/>
      <c r="F157" s="17"/>
      <c r="G157" s="17"/>
      <c r="H157" s="17"/>
    </row>
    <row r="158" spans="2:8" x14ac:dyDescent="0.3">
      <c r="B158" s="17"/>
      <c r="C158" s="17"/>
      <c r="D158" s="17"/>
      <c r="E158" s="17"/>
      <c r="F158" s="17"/>
      <c r="G158" s="17"/>
      <c r="H158" s="17"/>
    </row>
    <row r="159" spans="2:8" x14ac:dyDescent="0.3">
      <c r="B159" s="17"/>
      <c r="C159" s="17"/>
      <c r="D159" s="17"/>
      <c r="E159" s="17"/>
      <c r="F159" s="17"/>
      <c r="G159" s="17"/>
      <c r="H159" s="17"/>
    </row>
    <row r="160" spans="2:8" x14ac:dyDescent="0.3">
      <c r="B160" s="17"/>
      <c r="C160" s="17"/>
      <c r="D160" s="17"/>
      <c r="E160" s="17"/>
      <c r="F160" s="17"/>
      <c r="G160" s="17"/>
      <c r="H160" s="17"/>
    </row>
    <row r="161" spans="2:8" x14ac:dyDescent="0.3">
      <c r="B161" s="17"/>
      <c r="C161" s="17"/>
      <c r="D161" s="17"/>
      <c r="E161" s="17"/>
      <c r="F161" s="17"/>
      <c r="G161" s="17"/>
      <c r="H161" s="17"/>
    </row>
    <row r="162" spans="2:8" x14ac:dyDescent="0.3">
      <c r="B162" s="17"/>
      <c r="C162" s="17"/>
      <c r="D162" s="17"/>
      <c r="E162" s="17"/>
      <c r="F162" s="17"/>
      <c r="G162" s="17"/>
      <c r="H162" s="17"/>
    </row>
    <row r="163" spans="2:8" x14ac:dyDescent="0.3">
      <c r="B163" s="17"/>
      <c r="C163" s="17"/>
      <c r="D163" s="17"/>
      <c r="E163" s="17"/>
      <c r="F163" s="17"/>
      <c r="G163" s="17"/>
      <c r="H163" s="17"/>
    </row>
    <row r="164" spans="2:8" x14ac:dyDescent="0.3">
      <c r="B164" s="17"/>
      <c r="C164" s="17"/>
      <c r="D164" s="17"/>
      <c r="E164" s="17"/>
      <c r="F164" s="17"/>
      <c r="G164" s="17"/>
      <c r="H164" s="17"/>
    </row>
    <row r="165" spans="2:8" x14ac:dyDescent="0.3">
      <c r="B165" s="17"/>
      <c r="C165" s="17"/>
      <c r="D165" s="17"/>
      <c r="E165" s="17"/>
      <c r="F165" s="17"/>
      <c r="G165" s="17"/>
      <c r="H165" s="17"/>
    </row>
    <row r="166" spans="2:8" x14ac:dyDescent="0.3">
      <c r="B166" s="17"/>
      <c r="C166" s="17"/>
      <c r="D166" s="17"/>
      <c r="E166" s="17"/>
      <c r="F166" s="17"/>
      <c r="G166" s="17"/>
      <c r="H166" s="17"/>
    </row>
    <row r="167" spans="2:8" x14ac:dyDescent="0.3">
      <c r="B167" s="17"/>
      <c r="C167" s="17"/>
      <c r="D167" s="17"/>
      <c r="E167" s="17"/>
      <c r="F167" s="17"/>
      <c r="G167" s="17"/>
      <c r="H167" s="17"/>
    </row>
    <row r="168" spans="2:8" x14ac:dyDescent="0.3">
      <c r="B168" s="17"/>
      <c r="C168" s="17"/>
      <c r="D168" s="17"/>
      <c r="E168" s="17"/>
      <c r="F168" s="17"/>
      <c r="G168" s="17"/>
      <c r="H168" s="17"/>
    </row>
    <row r="169" spans="2:8" x14ac:dyDescent="0.3">
      <c r="B169" s="17"/>
      <c r="C169" s="17"/>
      <c r="D169" s="17"/>
      <c r="E169" s="17"/>
      <c r="F169" s="17"/>
      <c r="G169" s="17"/>
      <c r="H169" s="17"/>
    </row>
    <row r="170" spans="2:8" x14ac:dyDescent="0.3">
      <c r="B170" s="17"/>
      <c r="C170" s="17"/>
      <c r="D170" s="17"/>
      <c r="E170" s="17"/>
      <c r="F170" s="17"/>
      <c r="G170" s="17"/>
      <c r="H170" s="17"/>
    </row>
    <row r="171" spans="2:8" x14ac:dyDescent="0.3">
      <c r="B171" s="17"/>
      <c r="C171" s="17"/>
      <c r="D171" s="17"/>
      <c r="E171" s="17"/>
      <c r="F171" s="17"/>
      <c r="G171" s="17"/>
      <c r="H171" s="17"/>
    </row>
    <row r="172" spans="2:8" x14ac:dyDescent="0.3">
      <c r="B172" s="17"/>
      <c r="C172" s="17"/>
      <c r="D172" s="17"/>
      <c r="E172" s="17"/>
      <c r="F172" s="17"/>
      <c r="G172" s="17"/>
      <c r="H172" s="17"/>
    </row>
    <row r="173" spans="2:8" x14ac:dyDescent="0.3">
      <c r="B173" s="17"/>
      <c r="C173" s="17"/>
      <c r="D173" s="17"/>
      <c r="E173" s="17"/>
      <c r="F173" s="17"/>
      <c r="G173" s="17"/>
      <c r="H173" s="17"/>
    </row>
    <row r="174" spans="2:8" x14ac:dyDescent="0.3">
      <c r="B174" s="17"/>
      <c r="C174" s="17"/>
      <c r="D174" s="17"/>
      <c r="E174" s="17"/>
      <c r="F174" s="17"/>
      <c r="G174" s="17"/>
      <c r="H174" s="17"/>
    </row>
    <row r="175" spans="2:8" x14ac:dyDescent="0.3">
      <c r="B175" s="17"/>
      <c r="C175" s="17"/>
      <c r="D175" s="17"/>
      <c r="E175" s="17"/>
      <c r="F175" s="17"/>
      <c r="G175" s="17"/>
      <c r="H175" s="17"/>
    </row>
    <row r="176" spans="2:8" x14ac:dyDescent="0.3">
      <c r="B176" s="17"/>
      <c r="C176" s="17"/>
      <c r="D176" s="17"/>
      <c r="E176" s="17"/>
      <c r="F176" s="17"/>
      <c r="G176" s="17"/>
      <c r="H176" s="17"/>
    </row>
    <row r="177" spans="2:8" x14ac:dyDescent="0.3">
      <c r="B177" s="17"/>
      <c r="C177" s="17"/>
      <c r="D177" s="17"/>
      <c r="E177" s="17"/>
      <c r="F177" s="17"/>
      <c r="G177" s="17"/>
      <c r="H177" s="17"/>
    </row>
    <row r="178" spans="2:8" x14ac:dyDescent="0.3">
      <c r="B178" s="17"/>
      <c r="C178" s="17"/>
      <c r="D178" s="17"/>
      <c r="E178" s="17"/>
      <c r="F178" s="17"/>
      <c r="G178" s="17"/>
      <c r="H178" s="17"/>
    </row>
    <row r="179" spans="2:8" x14ac:dyDescent="0.3">
      <c r="B179" s="17"/>
      <c r="C179" s="17"/>
      <c r="D179" s="17"/>
      <c r="E179" s="17"/>
      <c r="F179" s="17"/>
      <c r="G179" s="17"/>
      <c r="H179" s="17"/>
    </row>
    <row r="180" spans="2:8" x14ac:dyDescent="0.3">
      <c r="B180" s="17"/>
      <c r="C180" s="17"/>
      <c r="D180" s="17"/>
      <c r="E180" s="17"/>
      <c r="F180" s="17"/>
      <c r="G180" s="17"/>
      <c r="H180" s="17"/>
    </row>
    <row r="181" spans="2:8" x14ac:dyDescent="0.3">
      <c r="B181" s="17"/>
      <c r="C181" s="17"/>
      <c r="D181" s="17"/>
      <c r="E181" s="17"/>
      <c r="F181" s="17"/>
      <c r="G181" s="17"/>
      <c r="H181" s="17"/>
    </row>
    <row r="182" spans="2:8" x14ac:dyDescent="0.3">
      <c r="B182" s="17"/>
      <c r="C182" s="17"/>
      <c r="D182" s="17"/>
      <c r="E182" s="17"/>
      <c r="F182" s="17"/>
      <c r="G182" s="17"/>
      <c r="H182" s="17"/>
    </row>
    <row r="183" spans="2:8" x14ac:dyDescent="0.3">
      <c r="B183" s="17"/>
      <c r="C183" s="17"/>
      <c r="D183" s="17"/>
      <c r="E183" s="17"/>
      <c r="F183" s="17"/>
      <c r="G183" s="17"/>
      <c r="H183" s="17"/>
    </row>
    <row r="184" spans="2:8" x14ac:dyDescent="0.3">
      <c r="B184" s="17"/>
      <c r="C184" s="17"/>
      <c r="D184" s="17"/>
      <c r="E184" s="17"/>
      <c r="F184" s="17"/>
      <c r="G184" s="17"/>
      <c r="H184" s="17"/>
    </row>
    <row r="185" spans="2:8" x14ac:dyDescent="0.3">
      <c r="B185" s="17"/>
      <c r="C185" s="17"/>
      <c r="D185" s="17"/>
      <c r="E185" s="17"/>
      <c r="F185" s="17"/>
      <c r="G185" s="17"/>
      <c r="H185" s="17"/>
    </row>
    <row r="186" spans="2:8" x14ac:dyDescent="0.3">
      <c r="B186" s="17"/>
      <c r="C186" s="17"/>
      <c r="D186" s="17"/>
      <c r="E186" s="17"/>
      <c r="F186" s="17"/>
      <c r="G186" s="17"/>
      <c r="H186" s="17"/>
    </row>
    <row r="187" spans="2:8" x14ac:dyDescent="0.3">
      <c r="B187" s="17"/>
      <c r="C187" s="17"/>
      <c r="D187" s="17"/>
      <c r="E187" s="17"/>
      <c r="F187" s="17"/>
      <c r="G187" s="17"/>
      <c r="H187" s="17"/>
    </row>
    <row r="188" spans="2:8" x14ac:dyDescent="0.3">
      <c r="B188" s="17"/>
      <c r="C188" s="17"/>
      <c r="D188" s="17"/>
      <c r="E188" s="17"/>
      <c r="F188" s="17"/>
      <c r="G188" s="17"/>
      <c r="H188" s="17"/>
    </row>
    <row r="189" spans="2:8" x14ac:dyDescent="0.3">
      <c r="B189" s="17"/>
      <c r="C189" s="17"/>
      <c r="D189" s="17"/>
      <c r="E189" s="17"/>
      <c r="F189" s="17"/>
      <c r="G189" s="17"/>
      <c r="H189" s="17"/>
    </row>
    <row r="190" spans="2:8" x14ac:dyDescent="0.3">
      <c r="B190" s="17"/>
      <c r="C190" s="17"/>
      <c r="D190" s="17"/>
      <c r="E190" s="17"/>
      <c r="F190" s="17"/>
      <c r="G190" s="17"/>
      <c r="H190" s="17"/>
    </row>
    <row r="191" spans="2:8" x14ac:dyDescent="0.3">
      <c r="B191" s="17"/>
      <c r="C191" s="17"/>
      <c r="D191" s="17"/>
      <c r="E191" s="17"/>
      <c r="F191" s="17"/>
      <c r="G191" s="17"/>
      <c r="H191" s="17"/>
    </row>
    <row r="192" spans="2:8" x14ac:dyDescent="0.3">
      <c r="B192" s="17"/>
      <c r="C192" s="17"/>
      <c r="D192" s="17"/>
      <c r="E192" s="17"/>
      <c r="F192" s="17"/>
      <c r="G192" s="17"/>
      <c r="H192" s="17"/>
    </row>
    <row r="193" spans="2:8" x14ac:dyDescent="0.3">
      <c r="B193" s="17"/>
      <c r="C193" s="17"/>
      <c r="D193" s="17"/>
      <c r="E193" s="17"/>
      <c r="F193" s="17"/>
      <c r="G193" s="17"/>
      <c r="H193" s="17"/>
    </row>
    <row r="194" spans="2:8" x14ac:dyDescent="0.3">
      <c r="B194" s="17"/>
      <c r="C194" s="17"/>
      <c r="D194" s="17"/>
      <c r="E194" s="17"/>
      <c r="F194" s="17"/>
      <c r="G194" s="17"/>
      <c r="H194" s="17"/>
    </row>
    <row r="195" spans="2:8" x14ac:dyDescent="0.3">
      <c r="B195" s="17"/>
      <c r="C195" s="17"/>
      <c r="D195" s="17"/>
      <c r="E195" s="17"/>
      <c r="F195" s="17"/>
      <c r="G195" s="17"/>
      <c r="H195" s="17"/>
    </row>
    <row r="196" spans="2:8" x14ac:dyDescent="0.3">
      <c r="B196" s="17"/>
      <c r="C196" s="17"/>
      <c r="D196" s="17"/>
      <c r="E196" s="17"/>
      <c r="F196" s="17"/>
      <c r="G196" s="17"/>
      <c r="H196" s="17"/>
    </row>
    <row r="197" spans="2:8" x14ac:dyDescent="0.3">
      <c r="B197" s="17"/>
      <c r="C197" s="17"/>
      <c r="D197" s="17"/>
      <c r="E197" s="17"/>
      <c r="F197" s="17"/>
      <c r="G197" s="17"/>
      <c r="H197" s="17"/>
    </row>
    <row r="198" spans="2:8" x14ac:dyDescent="0.3">
      <c r="B198" s="17"/>
      <c r="C198" s="17"/>
      <c r="D198" s="17"/>
      <c r="E198" s="17"/>
      <c r="F198" s="17"/>
      <c r="G198" s="17"/>
      <c r="H198" s="17"/>
    </row>
    <row r="199" spans="2:8" x14ac:dyDescent="0.3">
      <c r="B199" s="17"/>
      <c r="C199" s="17"/>
      <c r="D199" s="17"/>
      <c r="E199" s="17"/>
      <c r="F199" s="17"/>
      <c r="G199" s="17"/>
      <c r="H199" s="17"/>
    </row>
    <row r="200" spans="2:8" x14ac:dyDescent="0.3">
      <c r="B200" s="17"/>
      <c r="C200" s="17"/>
      <c r="D200" s="17"/>
      <c r="E200" s="17"/>
      <c r="F200" s="17"/>
      <c r="G200" s="17"/>
      <c r="H200" s="17"/>
    </row>
    <row r="201" spans="2:8" x14ac:dyDescent="0.3">
      <c r="B201" s="17"/>
      <c r="C201" s="17"/>
      <c r="D201" s="17"/>
      <c r="E201" s="17"/>
      <c r="F201" s="17"/>
      <c r="G201" s="17"/>
      <c r="H201" s="17"/>
    </row>
    <row r="202" spans="2:8" x14ac:dyDescent="0.3">
      <c r="B202" s="17"/>
      <c r="C202" s="17"/>
      <c r="D202" s="17"/>
      <c r="E202" s="17"/>
      <c r="F202" s="17"/>
      <c r="G202" s="17"/>
      <c r="H202" s="17"/>
    </row>
    <row r="203" spans="2:8" x14ac:dyDescent="0.3">
      <c r="B203" s="17"/>
      <c r="C203" s="17"/>
      <c r="D203" s="17"/>
      <c r="E203" s="17"/>
      <c r="F203" s="17"/>
      <c r="G203" s="17"/>
      <c r="H203" s="17"/>
    </row>
    <row r="204" spans="2:8" x14ac:dyDescent="0.3">
      <c r="B204" s="17"/>
      <c r="C204" s="17"/>
      <c r="D204" s="17"/>
      <c r="E204" s="17"/>
      <c r="F204" s="17"/>
      <c r="G204" s="17"/>
      <c r="H204" s="17"/>
    </row>
    <row r="205" spans="2:8" x14ac:dyDescent="0.3">
      <c r="B205" s="17"/>
      <c r="C205" s="17"/>
      <c r="D205" s="17"/>
      <c r="E205" s="17"/>
      <c r="F205" s="17"/>
      <c r="G205" s="17"/>
      <c r="H205" s="17"/>
    </row>
    <row r="206" spans="2:8" x14ac:dyDescent="0.3">
      <c r="B206" s="17"/>
      <c r="C206" s="17"/>
      <c r="D206" s="17"/>
      <c r="E206" s="17"/>
      <c r="F206" s="17"/>
      <c r="G206" s="17"/>
      <c r="H206" s="17"/>
    </row>
    <row r="207" spans="2:8" x14ac:dyDescent="0.3">
      <c r="B207" s="17"/>
      <c r="C207" s="17"/>
      <c r="D207" s="17"/>
      <c r="E207" s="17"/>
      <c r="F207" s="17"/>
      <c r="G207" s="17"/>
      <c r="H207" s="17"/>
    </row>
    <row r="208" spans="2:8" x14ac:dyDescent="0.3">
      <c r="B208" s="17"/>
      <c r="C208" s="17"/>
      <c r="D208" s="17"/>
      <c r="E208" s="17"/>
      <c r="F208" s="17"/>
      <c r="G208" s="17"/>
      <c r="H208" s="17"/>
    </row>
    <row r="209" spans="2:8" x14ac:dyDescent="0.3">
      <c r="B209" s="17"/>
      <c r="C209" s="17"/>
      <c r="D209" s="17"/>
      <c r="E209" s="17"/>
      <c r="F209" s="17"/>
      <c r="G209" s="17"/>
      <c r="H209" s="17"/>
    </row>
    <row r="210" spans="2:8" x14ac:dyDescent="0.3">
      <c r="B210" s="17"/>
      <c r="C210" s="17"/>
      <c r="D210" s="17"/>
      <c r="E210" s="17"/>
      <c r="F210" s="17"/>
      <c r="G210" s="17"/>
      <c r="H210" s="17"/>
    </row>
    <row r="211" spans="2:8" x14ac:dyDescent="0.3">
      <c r="B211" s="17"/>
      <c r="C211" s="17"/>
      <c r="D211" s="17"/>
      <c r="E211" s="17"/>
      <c r="F211" s="17"/>
      <c r="G211" s="17"/>
      <c r="H211" s="17"/>
    </row>
    <row r="212" spans="2:8" x14ac:dyDescent="0.3">
      <c r="B212" s="17"/>
      <c r="C212" s="17"/>
      <c r="D212" s="17"/>
      <c r="E212" s="17"/>
      <c r="F212" s="17"/>
      <c r="G212" s="17"/>
      <c r="H212" s="17"/>
    </row>
    <row r="213" spans="2:8" x14ac:dyDescent="0.3">
      <c r="B213" s="17"/>
      <c r="C213" s="17"/>
      <c r="D213" s="17"/>
      <c r="E213" s="17"/>
      <c r="F213" s="17"/>
      <c r="G213" s="17"/>
      <c r="H213" s="17"/>
    </row>
    <row r="214" spans="2:8" x14ac:dyDescent="0.3">
      <c r="B214" s="17"/>
      <c r="C214" s="17"/>
      <c r="D214" s="17"/>
      <c r="E214" s="17"/>
      <c r="F214" s="17"/>
      <c r="G214" s="17"/>
      <c r="H214" s="17"/>
    </row>
    <row r="215" spans="2:8" x14ac:dyDescent="0.3">
      <c r="B215" s="17"/>
      <c r="C215" s="17"/>
      <c r="D215" s="17"/>
      <c r="E215" s="17"/>
      <c r="F215" s="17"/>
      <c r="G215" s="17"/>
      <c r="H215" s="17"/>
    </row>
    <row r="216" spans="2:8" x14ac:dyDescent="0.3">
      <c r="B216" s="17"/>
      <c r="C216" s="17"/>
      <c r="D216" s="17"/>
      <c r="E216" s="17"/>
      <c r="F216" s="17"/>
      <c r="G216" s="17"/>
      <c r="H216" s="17"/>
    </row>
    <row r="217" spans="2:8" x14ac:dyDescent="0.3">
      <c r="B217" s="17"/>
      <c r="C217" s="17"/>
      <c r="D217" s="17"/>
      <c r="E217" s="17"/>
      <c r="F217" s="17"/>
      <c r="G217" s="17"/>
      <c r="H217" s="17"/>
    </row>
    <row r="218" spans="2:8" x14ac:dyDescent="0.3">
      <c r="B218" s="17"/>
      <c r="C218" s="17"/>
      <c r="D218" s="17"/>
      <c r="E218" s="17"/>
      <c r="F218" s="17"/>
      <c r="G218" s="17"/>
      <c r="H218" s="17"/>
    </row>
    <row r="219" spans="2:8" x14ac:dyDescent="0.3">
      <c r="B219" s="17"/>
      <c r="C219" s="17"/>
      <c r="D219" s="17"/>
      <c r="E219" s="17"/>
      <c r="F219" s="17"/>
      <c r="G219" s="17"/>
      <c r="H219" s="17"/>
    </row>
    <row r="220" spans="2:8" x14ac:dyDescent="0.3">
      <c r="B220" s="17"/>
      <c r="C220" s="17"/>
      <c r="D220" s="17"/>
      <c r="E220" s="17"/>
      <c r="F220" s="17"/>
      <c r="G220" s="17"/>
      <c r="H220" s="17"/>
    </row>
    <row r="221" spans="2:8" x14ac:dyDescent="0.3">
      <c r="B221" s="17"/>
      <c r="C221" s="17"/>
      <c r="D221" s="17"/>
      <c r="E221" s="17"/>
      <c r="F221" s="17"/>
      <c r="G221" s="17"/>
      <c r="H221" s="17"/>
    </row>
    <row r="222" spans="2:8" x14ac:dyDescent="0.3">
      <c r="B222" s="17"/>
      <c r="C222" s="17"/>
      <c r="D222" s="17"/>
      <c r="E222" s="17"/>
      <c r="F222" s="17"/>
      <c r="G222" s="17"/>
      <c r="H222" s="17"/>
    </row>
    <row r="223" spans="2:8" x14ac:dyDescent="0.3">
      <c r="B223" s="17"/>
      <c r="C223" s="17"/>
      <c r="D223" s="17"/>
      <c r="E223" s="17"/>
      <c r="F223" s="17"/>
      <c r="G223" s="17"/>
      <c r="H223" s="17"/>
    </row>
    <row r="224" spans="2:8" x14ac:dyDescent="0.3">
      <c r="B224" s="17"/>
      <c r="C224" s="17"/>
      <c r="D224" s="17"/>
      <c r="E224" s="17"/>
      <c r="F224" s="17"/>
      <c r="G224" s="17"/>
      <c r="H224" s="17"/>
    </row>
    <row r="225" spans="2:8" x14ac:dyDescent="0.3">
      <c r="B225" s="17"/>
      <c r="C225" s="17"/>
      <c r="D225" s="17"/>
      <c r="E225" s="17"/>
      <c r="F225" s="17"/>
      <c r="G225" s="17"/>
      <c r="H225" s="17"/>
    </row>
    <row r="226" spans="2:8" x14ac:dyDescent="0.3">
      <c r="B226" s="17"/>
      <c r="C226" s="17"/>
      <c r="D226" s="17"/>
      <c r="E226" s="17"/>
      <c r="F226" s="17"/>
      <c r="G226" s="17"/>
      <c r="H226" s="17"/>
    </row>
    <row r="227" spans="2:8" x14ac:dyDescent="0.3">
      <c r="B227" s="17"/>
      <c r="C227" s="17"/>
      <c r="D227" s="17"/>
      <c r="E227" s="17"/>
      <c r="F227" s="17"/>
      <c r="G227" s="17"/>
      <c r="H227" s="17"/>
    </row>
    <row r="228" spans="2:8" x14ac:dyDescent="0.3">
      <c r="B228" s="17"/>
      <c r="C228" s="17"/>
      <c r="D228" s="17"/>
      <c r="E228" s="17"/>
      <c r="F228" s="17"/>
      <c r="G228" s="17"/>
      <c r="H228" s="17"/>
    </row>
    <row r="229" spans="2:8" x14ac:dyDescent="0.3">
      <c r="B229" s="17"/>
      <c r="C229" s="17"/>
      <c r="D229" s="17"/>
      <c r="E229" s="17"/>
      <c r="F229" s="17"/>
      <c r="G229" s="17"/>
      <c r="H229" s="17"/>
    </row>
    <row r="230" spans="2:8" x14ac:dyDescent="0.3">
      <c r="B230" s="17"/>
      <c r="C230" s="17"/>
      <c r="D230" s="17"/>
      <c r="E230" s="17"/>
      <c r="F230" s="17"/>
      <c r="G230" s="17"/>
      <c r="H230" s="17"/>
    </row>
    <row r="231" spans="2:8" x14ac:dyDescent="0.3">
      <c r="B231" s="17"/>
      <c r="C231" s="17"/>
      <c r="D231" s="17"/>
      <c r="E231" s="17"/>
      <c r="F231" s="17"/>
      <c r="G231" s="17"/>
      <c r="H231" s="17"/>
    </row>
    <row r="232" spans="2:8" x14ac:dyDescent="0.3">
      <c r="B232" s="17"/>
      <c r="C232" s="17"/>
      <c r="D232" s="17"/>
      <c r="E232" s="17"/>
      <c r="F232" s="17"/>
      <c r="G232" s="17"/>
      <c r="H232" s="17"/>
    </row>
    <row r="233" spans="2:8" x14ac:dyDescent="0.3">
      <c r="B233" s="17"/>
      <c r="C233" s="17"/>
      <c r="D233" s="17"/>
      <c r="E233" s="17"/>
      <c r="F233" s="17"/>
      <c r="G233" s="17"/>
      <c r="H233" s="17"/>
    </row>
    <row r="234" spans="2:8" x14ac:dyDescent="0.3">
      <c r="B234" s="17"/>
      <c r="C234" s="17"/>
      <c r="D234" s="17"/>
      <c r="E234" s="17"/>
      <c r="F234" s="17"/>
      <c r="G234" s="17"/>
      <c r="H234" s="17"/>
    </row>
    <row r="235" spans="2:8" x14ac:dyDescent="0.3">
      <c r="B235" s="17"/>
      <c r="C235" s="17"/>
      <c r="D235" s="17"/>
      <c r="E235" s="17"/>
      <c r="F235" s="17"/>
      <c r="G235" s="17"/>
      <c r="H235" s="17"/>
    </row>
    <row r="236" spans="2:8" x14ac:dyDescent="0.3">
      <c r="B236" s="17"/>
      <c r="C236" s="17"/>
      <c r="D236" s="17"/>
      <c r="E236" s="17"/>
      <c r="F236" s="17"/>
      <c r="G236" s="17"/>
      <c r="H236" s="17"/>
    </row>
    <row r="237" spans="2:8" x14ac:dyDescent="0.3">
      <c r="B237" s="17"/>
      <c r="C237" s="17"/>
      <c r="D237" s="17"/>
      <c r="E237" s="17"/>
      <c r="F237" s="17"/>
      <c r="G237" s="17"/>
      <c r="H237" s="17"/>
    </row>
    <row r="238" spans="2:8" x14ac:dyDescent="0.3">
      <c r="B238" s="17"/>
      <c r="C238" s="17"/>
      <c r="D238" s="17"/>
      <c r="E238" s="17"/>
      <c r="F238" s="17"/>
      <c r="G238" s="17"/>
      <c r="H238" s="17"/>
    </row>
    <row r="239" spans="2:8" x14ac:dyDescent="0.3">
      <c r="B239" s="17"/>
      <c r="C239" s="17"/>
      <c r="D239" s="17"/>
      <c r="E239" s="17"/>
      <c r="F239" s="17"/>
      <c r="G239" s="17"/>
      <c r="H239" s="17"/>
    </row>
    <row r="240" spans="2:8" x14ac:dyDescent="0.3">
      <c r="B240" s="17"/>
      <c r="C240" s="17"/>
      <c r="D240" s="17"/>
      <c r="E240" s="17"/>
      <c r="F240" s="17"/>
      <c r="G240" s="17"/>
      <c r="H240" s="17"/>
    </row>
    <row r="241" spans="2:8" x14ac:dyDescent="0.3">
      <c r="B241" s="17"/>
      <c r="C241" s="17"/>
      <c r="D241" s="17"/>
      <c r="E241" s="17"/>
      <c r="F241" s="17"/>
      <c r="G241" s="17"/>
      <c r="H241" s="17"/>
    </row>
    <row r="242" spans="2:8" x14ac:dyDescent="0.3">
      <c r="B242" s="17"/>
      <c r="C242" s="17"/>
      <c r="D242" s="17"/>
      <c r="E242" s="17"/>
      <c r="F242" s="17"/>
      <c r="G242" s="17"/>
      <c r="H242" s="17"/>
    </row>
    <row r="243" spans="2:8" x14ac:dyDescent="0.3">
      <c r="B243" s="17"/>
      <c r="C243" s="17"/>
      <c r="D243" s="17"/>
      <c r="E243" s="17"/>
      <c r="F243" s="17"/>
      <c r="G243" s="17"/>
      <c r="H243" s="17"/>
    </row>
    <row r="244" spans="2:8" x14ac:dyDescent="0.3">
      <c r="B244" s="17"/>
      <c r="C244" s="17"/>
      <c r="D244" s="17"/>
      <c r="E244" s="17"/>
      <c r="F244" s="17"/>
      <c r="G244" s="17"/>
      <c r="H244" s="17"/>
    </row>
    <row r="245" spans="2:8" x14ac:dyDescent="0.3">
      <c r="B245" s="17"/>
      <c r="C245" s="17"/>
      <c r="D245" s="17"/>
      <c r="E245" s="17"/>
      <c r="F245" s="17"/>
      <c r="G245" s="17"/>
      <c r="H245" s="17"/>
    </row>
    <row r="246" spans="2:8" x14ac:dyDescent="0.3">
      <c r="B246" s="17"/>
      <c r="C246" s="17"/>
      <c r="D246" s="17"/>
      <c r="E246" s="17"/>
      <c r="F246" s="17"/>
      <c r="G246" s="17"/>
      <c r="H246" s="17"/>
    </row>
    <row r="247" spans="2:8" x14ac:dyDescent="0.3">
      <c r="B247" s="17"/>
      <c r="C247" s="17"/>
      <c r="D247" s="17"/>
      <c r="E247" s="17"/>
      <c r="F247" s="17"/>
      <c r="G247" s="17"/>
      <c r="H247" s="17"/>
    </row>
    <row r="248" spans="2:8" x14ac:dyDescent="0.3">
      <c r="B248" s="17"/>
      <c r="C248" s="17"/>
      <c r="D248" s="17"/>
      <c r="E248" s="17"/>
      <c r="F248" s="17"/>
      <c r="G248" s="17"/>
      <c r="H248" s="17"/>
    </row>
    <row r="249" spans="2:8" x14ac:dyDescent="0.3">
      <c r="B249" s="17"/>
      <c r="C249" s="17"/>
      <c r="D249" s="17"/>
      <c r="E249" s="17"/>
      <c r="F249" s="17"/>
      <c r="G249" s="17"/>
      <c r="H249" s="17"/>
    </row>
    <row r="250" spans="2:8" x14ac:dyDescent="0.3">
      <c r="B250" s="17"/>
      <c r="C250" s="17"/>
      <c r="D250" s="17"/>
      <c r="E250" s="17"/>
      <c r="F250" s="17"/>
      <c r="G250" s="17"/>
      <c r="H250" s="17"/>
    </row>
    <row r="251" spans="2:8" x14ac:dyDescent="0.3">
      <c r="B251" s="17"/>
      <c r="C251" s="17"/>
      <c r="D251" s="17"/>
      <c r="E251" s="17"/>
      <c r="F251" s="17"/>
      <c r="G251" s="17"/>
      <c r="H251" s="17"/>
    </row>
    <row r="252" spans="2:8" x14ac:dyDescent="0.3">
      <c r="B252" s="17"/>
      <c r="C252" s="17"/>
      <c r="D252" s="17"/>
      <c r="E252" s="17"/>
      <c r="F252" s="17"/>
      <c r="G252" s="17"/>
      <c r="H252" s="17"/>
    </row>
    <row r="253" spans="2:8" x14ac:dyDescent="0.3">
      <c r="B253" s="17"/>
      <c r="C253" s="17"/>
      <c r="D253" s="17"/>
      <c r="E253" s="17"/>
      <c r="F253" s="17"/>
      <c r="G253" s="17"/>
      <c r="H253" s="17"/>
    </row>
    <row r="254" spans="2:8" x14ac:dyDescent="0.3">
      <c r="B254" s="17"/>
      <c r="C254" s="17"/>
      <c r="D254" s="17"/>
      <c r="E254" s="17"/>
      <c r="F254" s="17"/>
      <c r="G254" s="17"/>
      <c r="H254" s="17"/>
    </row>
    <row r="255" spans="2:8" x14ac:dyDescent="0.3">
      <c r="B255" s="17"/>
      <c r="C255" s="17"/>
      <c r="D255" s="17"/>
      <c r="E255" s="17"/>
      <c r="F255" s="17"/>
      <c r="G255" s="17"/>
      <c r="H255" s="17"/>
    </row>
    <row r="256" spans="2:8" x14ac:dyDescent="0.3">
      <c r="B256" s="17"/>
      <c r="C256" s="17"/>
      <c r="D256" s="17"/>
      <c r="E256" s="17"/>
      <c r="F256" s="17"/>
      <c r="G256" s="17"/>
      <c r="H256" s="17"/>
    </row>
    <row r="257" spans="2:8" x14ac:dyDescent="0.3">
      <c r="B257" s="17"/>
      <c r="C257" s="17"/>
      <c r="D257" s="17"/>
      <c r="E257" s="17"/>
      <c r="F257" s="17"/>
      <c r="G257" s="17"/>
      <c r="H257" s="17"/>
    </row>
    <row r="258" spans="2:8" x14ac:dyDescent="0.3">
      <c r="B258" s="17"/>
      <c r="C258" s="17"/>
      <c r="D258" s="17"/>
      <c r="E258" s="17"/>
      <c r="F258" s="17"/>
      <c r="G258" s="17"/>
      <c r="H258" s="17"/>
    </row>
    <row r="259" spans="2:8" x14ac:dyDescent="0.3">
      <c r="B259" s="17"/>
      <c r="C259" s="17"/>
      <c r="D259" s="17"/>
      <c r="E259" s="17"/>
      <c r="F259" s="17"/>
      <c r="G259" s="17"/>
      <c r="H259" s="17"/>
    </row>
    <row r="260" spans="2:8" x14ac:dyDescent="0.3">
      <c r="B260" s="17"/>
      <c r="C260" s="17"/>
      <c r="D260" s="17"/>
      <c r="E260" s="17"/>
      <c r="F260" s="17"/>
      <c r="G260" s="17"/>
      <c r="H260" s="17"/>
    </row>
    <row r="261" spans="2:8" x14ac:dyDescent="0.3">
      <c r="B261" s="17"/>
      <c r="C261" s="17"/>
      <c r="D261" s="17"/>
      <c r="E261" s="17"/>
      <c r="F261" s="17"/>
      <c r="G261" s="17"/>
      <c r="H261" s="17"/>
    </row>
    <row r="262" spans="2:8" x14ac:dyDescent="0.3">
      <c r="B262" s="17"/>
      <c r="C262" s="17"/>
      <c r="D262" s="17"/>
      <c r="E262" s="17"/>
      <c r="F262" s="17"/>
      <c r="G262" s="17"/>
      <c r="H262" s="17"/>
    </row>
    <row r="263" spans="2:8" x14ac:dyDescent="0.3">
      <c r="B263" s="17"/>
      <c r="C263" s="17"/>
      <c r="D263" s="17"/>
      <c r="E263" s="17"/>
      <c r="F263" s="17"/>
      <c r="G263" s="17"/>
      <c r="H263" s="17"/>
    </row>
    <row r="264" spans="2:8" x14ac:dyDescent="0.3">
      <c r="B264" s="17"/>
      <c r="C264" s="17"/>
      <c r="D264" s="17"/>
      <c r="E264" s="17"/>
      <c r="F264" s="17"/>
      <c r="G264" s="17"/>
      <c r="H264" s="17"/>
    </row>
    <row r="265" spans="2:8" x14ac:dyDescent="0.3">
      <c r="B265" s="17"/>
      <c r="C265" s="17"/>
      <c r="D265" s="17"/>
      <c r="E265" s="17"/>
      <c r="F265" s="17"/>
      <c r="G265" s="17"/>
      <c r="H265" s="17"/>
    </row>
    <row r="266" spans="2:8" x14ac:dyDescent="0.3">
      <c r="B266" s="17"/>
      <c r="C266" s="17"/>
      <c r="D266" s="17"/>
      <c r="E266" s="17"/>
      <c r="F266" s="17"/>
      <c r="G266" s="17"/>
      <c r="H266" s="17"/>
    </row>
    <row r="267" spans="2:8" x14ac:dyDescent="0.3">
      <c r="B267" s="17"/>
      <c r="C267" s="17"/>
      <c r="D267" s="17"/>
      <c r="E267" s="17"/>
      <c r="F267" s="17"/>
      <c r="G267" s="17"/>
      <c r="H267" s="17"/>
    </row>
    <row r="268" spans="2:8" x14ac:dyDescent="0.3">
      <c r="B268" s="17"/>
      <c r="C268" s="17"/>
      <c r="D268" s="17"/>
      <c r="E268" s="17"/>
      <c r="F268" s="17"/>
      <c r="G268" s="17"/>
      <c r="H268" s="17"/>
    </row>
    <row r="269" spans="2:8" x14ac:dyDescent="0.3">
      <c r="B269" s="17"/>
      <c r="C269" s="17"/>
      <c r="D269" s="17"/>
      <c r="E269" s="17"/>
      <c r="F269" s="17"/>
      <c r="G269" s="17"/>
      <c r="H269" s="17"/>
    </row>
    <row r="270" spans="2:8" x14ac:dyDescent="0.3">
      <c r="B270" s="17"/>
      <c r="C270" s="17"/>
      <c r="D270" s="17"/>
      <c r="E270" s="17"/>
      <c r="F270" s="17"/>
      <c r="G270" s="17"/>
      <c r="H270" s="17"/>
    </row>
    <row r="271" spans="2:8" x14ac:dyDescent="0.3">
      <c r="B271" s="17"/>
      <c r="C271" s="17"/>
      <c r="D271" s="17"/>
      <c r="E271" s="17"/>
      <c r="F271" s="17"/>
      <c r="G271" s="17"/>
      <c r="H271" s="17"/>
    </row>
    <row r="272" spans="2:8" x14ac:dyDescent="0.3">
      <c r="B272" s="17"/>
      <c r="C272" s="17"/>
      <c r="D272" s="17"/>
      <c r="E272" s="17"/>
      <c r="F272" s="17"/>
      <c r="G272" s="17"/>
      <c r="H272" s="17"/>
    </row>
    <row r="273" spans="2:8" x14ac:dyDescent="0.3">
      <c r="B273" s="17"/>
      <c r="C273" s="17"/>
      <c r="D273" s="17"/>
      <c r="E273" s="17"/>
      <c r="F273" s="17"/>
      <c r="G273" s="17"/>
      <c r="H273" s="17"/>
    </row>
    <row r="274" spans="2:8" x14ac:dyDescent="0.3">
      <c r="B274" s="17"/>
      <c r="C274" s="17"/>
      <c r="D274" s="17"/>
      <c r="E274" s="17"/>
      <c r="F274" s="17"/>
      <c r="G274" s="17"/>
      <c r="H274" s="17"/>
    </row>
    <row r="275" spans="2:8" x14ac:dyDescent="0.3">
      <c r="B275" s="17"/>
      <c r="C275" s="17"/>
      <c r="D275" s="17"/>
      <c r="E275" s="17"/>
      <c r="F275" s="17"/>
      <c r="G275" s="17"/>
      <c r="H275" s="17"/>
    </row>
    <row r="276" spans="2:8" x14ac:dyDescent="0.3">
      <c r="B276" s="17"/>
      <c r="C276" s="17"/>
      <c r="D276" s="17"/>
      <c r="E276" s="17"/>
      <c r="F276" s="17"/>
      <c r="G276" s="17"/>
      <c r="H276" s="17"/>
    </row>
    <row r="277" spans="2:8" x14ac:dyDescent="0.3">
      <c r="B277" s="17"/>
      <c r="C277" s="17"/>
      <c r="D277" s="17"/>
      <c r="E277" s="17"/>
      <c r="F277" s="17"/>
      <c r="G277" s="17"/>
      <c r="H277" s="17"/>
    </row>
    <row r="278" spans="2:8" x14ac:dyDescent="0.3">
      <c r="B278" s="17"/>
      <c r="C278" s="17"/>
      <c r="D278" s="17"/>
      <c r="E278" s="17"/>
      <c r="F278" s="17"/>
      <c r="G278" s="17"/>
      <c r="H278" s="17"/>
    </row>
    <row r="279" spans="2:8" x14ac:dyDescent="0.3">
      <c r="B279" s="17"/>
      <c r="C279" s="17"/>
      <c r="D279" s="17"/>
      <c r="E279" s="17"/>
      <c r="F279" s="17"/>
      <c r="G279" s="17"/>
      <c r="H279" s="17"/>
    </row>
    <row r="280" spans="2:8" x14ac:dyDescent="0.3">
      <c r="B280" s="17"/>
      <c r="C280" s="17"/>
      <c r="D280" s="17"/>
      <c r="E280" s="17"/>
      <c r="F280" s="17"/>
      <c r="G280" s="17"/>
      <c r="H280" s="17"/>
    </row>
    <row r="281" spans="2:8" x14ac:dyDescent="0.3">
      <c r="B281" s="17"/>
      <c r="C281" s="17"/>
      <c r="D281" s="17"/>
      <c r="E281" s="17"/>
      <c r="F281" s="17"/>
      <c r="G281" s="17"/>
      <c r="H281" s="17"/>
    </row>
    <row r="282" spans="2:8" x14ac:dyDescent="0.3">
      <c r="B282" s="17"/>
      <c r="C282" s="17"/>
      <c r="D282" s="17"/>
      <c r="E282" s="17"/>
      <c r="F282" s="17"/>
      <c r="G282" s="17"/>
      <c r="H282" s="17"/>
    </row>
    <row r="283" spans="2:8" x14ac:dyDescent="0.3">
      <c r="B283" s="17"/>
      <c r="C283" s="17"/>
      <c r="D283" s="17"/>
      <c r="E283" s="17"/>
      <c r="F283" s="17"/>
      <c r="G283" s="17"/>
      <c r="H283" s="17"/>
    </row>
    <row r="284" spans="2:8" x14ac:dyDescent="0.3">
      <c r="B284" s="17"/>
      <c r="C284" s="17"/>
      <c r="D284" s="17"/>
      <c r="E284" s="17"/>
      <c r="F284" s="17"/>
      <c r="G284" s="17"/>
      <c r="H284" s="17"/>
    </row>
    <row r="285" spans="2:8" x14ac:dyDescent="0.3">
      <c r="B285" s="17"/>
      <c r="C285" s="17"/>
      <c r="D285" s="17"/>
      <c r="E285" s="17"/>
      <c r="F285" s="17"/>
      <c r="G285" s="17"/>
      <c r="H285" s="17"/>
    </row>
    <row r="286" spans="2:8" x14ac:dyDescent="0.3">
      <c r="B286" s="17"/>
      <c r="C286" s="17"/>
      <c r="D286" s="17"/>
      <c r="E286" s="17"/>
      <c r="F286" s="17"/>
      <c r="G286" s="17"/>
      <c r="H286" s="17"/>
    </row>
    <row r="287" spans="2:8" x14ac:dyDescent="0.3">
      <c r="B287" s="17"/>
      <c r="C287" s="17"/>
      <c r="D287" s="17"/>
      <c r="E287" s="17"/>
      <c r="F287" s="17"/>
      <c r="G287" s="17"/>
      <c r="H287" s="17"/>
    </row>
    <row r="288" spans="2:8" x14ac:dyDescent="0.3">
      <c r="B288" s="17"/>
      <c r="C288" s="17"/>
      <c r="D288" s="17"/>
      <c r="E288" s="17"/>
      <c r="F288" s="17"/>
      <c r="G288" s="17"/>
      <c r="H288" s="17"/>
    </row>
    <row r="289" spans="2:8" x14ac:dyDescent="0.3">
      <c r="B289" s="17"/>
      <c r="C289" s="17"/>
      <c r="D289" s="17"/>
      <c r="E289" s="17"/>
      <c r="F289" s="17"/>
      <c r="G289" s="17"/>
      <c r="H289" s="17"/>
    </row>
    <row r="290" spans="2:8" x14ac:dyDescent="0.3">
      <c r="B290" s="17"/>
      <c r="C290" s="17"/>
      <c r="D290" s="17"/>
      <c r="E290" s="17"/>
      <c r="F290" s="17"/>
      <c r="G290" s="17"/>
      <c r="H290" s="17"/>
    </row>
    <row r="291" spans="2:8" x14ac:dyDescent="0.3">
      <c r="B291" s="17"/>
      <c r="C291" s="17"/>
      <c r="D291" s="17"/>
      <c r="E291" s="17"/>
      <c r="F291" s="17"/>
      <c r="G291" s="17"/>
      <c r="H291" s="17"/>
    </row>
    <row r="292" spans="2:8" x14ac:dyDescent="0.3">
      <c r="B292" s="17"/>
      <c r="C292" s="17"/>
      <c r="D292" s="17"/>
      <c r="E292" s="17"/>
      <c r="F292" s="17"/>
      <c r="G292" s="17"/>
      <c r="H292" s="17"/>
    </row>
    <row r="293" spans="2:8" x14ac:dyDescent="0.3">
      <c r="B293" s="17"/>
      <c r="C293" s="17"/>
      <c r="D293" s="17"/>
      <c r="E293" s="17"/>
      <c r="F293" s="17"/>
      <c r="G293" s="17"/>
      <c r="H293" s="17"/>
    </row>
    <row r="294" spans="2:8" x14ac:dyDescent="0.3">
      <c r="B294" s="17"/>
      <c r="C294" s="17"/>
      <c r="D294" s="17"/>
      <c r="E294" s="17"/>
      <c r="F294" s="17"/>
      <c r="G294" s="17"/>
      <c r="H294" s="17"/>
    </row>
    <row r="295" spans="2:8" x14ac:dyDescent="0.3">
      <c r="B295" s="17"/>
      <c r="C295" s="17"/>
      <c r="D295" s="17"/>
      <c r="E295" s="17"/>
      <c r="F295" s="17"/>
      <c r="G295" s="17"/>
      <c r="H295" s="17"/>
    </row>
    <row r="296" spans="2:8" x14ac:dyDescent="0.3">
      <c r="B296" s="17"/>
      <c r="C296" s="17"/>
      <c r="D296" s="17"/>
      <c r="E296" s="17"/>
      <c r="F296" s="17"/>
      <c r="G296" s="17"/>
      <c r="H296" s="17"/>
    </row>
    <row r="297" spans="2:8" x14ac:dyDescent="0.3">
      <c r="B297" s="17"/>
      <c r="C297" s="17"/>
      <c r="D297" s="17"/>
      <c r="E297" s="17"/>
      <c r="F297" s="17"/>
      <c r="G297" s="17"/>
      <c r="H297" s="17"/>
    </row>
    <row r="298" spans="2:8" x14ac:dyDescent="0.3">
      <c r="B298" s="17"/>
      <c r="C298" s="17"/>
      <c r="D298" s="17"/>
      <c r="E298" s="17"/>
      <c r="F298" s="17"/>
      <c r="G298" s="17"/>
      <c r="H298" s="17"/>
    </row>
    <row r="299" spans="2:8" x14ac:dyDescent="0.3">
      <c r="B299" s="17"/>
      <c r="C299" s="17"/>
      <c r="D299" s="17"/>
      <c r="E299" s="17"/>
      <c r="F299" s="17"/>
      <c r="G299" s="17"/>
      <c r="H299" s="17"/>
    </row>
    <row r="300" spans="2:8" x14ac:dyDescent="0.3">
      <c r="B300" s="17"/>
      <c r="C300" s="17"/>
      <c r="D300" s="17"/>
      <c r="E300" s="17"/>
      <c r="F300" s="17"/>
      <c r="G300" s="17"/>
      <c r="H300" s="17"/>
    </row>
    <row r="301" spans="2:8" x14ac:dyDescent="0.3">
      <c r="B301" s="17"/>
      <c r="C301" s="17"/>
      <c r="D301" s="17"/>
      <c r="E301" s="17"/>
      <c r="F301" s="17"/>
      <c r="G301" s="17"/>
      <c r="H301" s="17"/>
    </row>
    <row r="302" spans="2:8" x14ac:dyDescent="0.3">
      <c r="B302" s="17"/>
      <c r="C302" s="17"/>
      <c r="D302" s="17"/>
      <c r="E302" s="17"/>
      <c r="F302" s="17"/>
      <c r="G302" s="17"/>
      <c r="H302" s="17"/>
    </row>
    <row r="303" spans="2:8" x14ac:dyDescent="0.3">
      <c r="B303" s="17"/>
      <c r="C303" s="17"/>
      <c r="D303" s="17"/>
      <c r="E303" s="17"/>
      <c r="F303" s="17"/>
      <c r="G303" s="17"/>
      <c r="H303" s="17"/>
    </row>
    <row r="304" spans="2:8" x14ac:dyDescent="0.3">
      <c r="B304" s="17"/>
      <c r="C304" s="17"/>
      <c r="D304" s="17"/>
      <c r="E304" s="17"/>
      <c r="F304" s="17"/>
      <c r="G304" s="17"/>
      <c r="H304" s="17"/>
    </row>
    <row r="305" spans="2:8" x14ac:dyDescent="0.3">
      <c r="B305" s="17"/>
      <c r="C305" s="17"/>
      <c r="D305" s="17"/>
      <c r="E305" s="17"/>
      <c r="F305" s="17"/>
      <c r="G305" s="17"/>
      <c r="H305" s="17"/>
    </row>
    <row r="306" spans="2:8" x14ac:dyDescent="0.3">
      <c r="B306" s="17"/>
      <c r="C306" s="17"/>
      <c r="D306" s="17"/>
      <c r="E306" s="17"/>
      <c r="F306" s="17"/>
      <c r="G306" s="17"/>
      <c r="H306" s="17"/>
    </row>
    <row r="307" spans="2:8" x14ac:dyDescent="0.3">
      <c r="B307" s="17"/>
      <c r="C307" s="17"/>
      <c r="D307" s="17"/>
      <c r="E307" s="17"/>
      <c r="F307" s="17"/>
      <c r="G307" s="17"/>
      <c r="H307" s="17"/>
    </row>
    <row r="308" spans="2:8" x14ac:dyDescent="0.3">
      <c r="B308" s="17"/>
      <c r="C308" s="17"/>
      <c r="D308" s="17"/>
      <c r="E308" s="17"/>
      <c r="F308" s="17"/>
      <c r="G308" s="17"/>
      <c r="H308" s="17"/>
    </row>
    <row r="309" spans="2:8" x14ac:dyDescent="0.3">
      <c r="B309" s="17"/>
      <c r="C309" s="17"/>
      <c r="D309" s="17"/>
      <c r="E309" s="17"/>
      <c r="F309" s="17"/>
      <c r="G309" s="17"/>
      <c r="H309" s="17"/>
    </row>
    <row r="310" spans="2:8" x14ac:dyDescent="0.3">
      <c r="B310" s="17"/>
      <c r="C310" s="17"/>
      <c r="D310" s="17"/>
      <c r="E310" s="17"/>
      <c r="F310" s="17"/>
      <c r="G310" s="17"/>
      <c r="H310" s="17"/>
    </row>
    <row r="311" spans="2:8" x14ac:dyDescent="0.3">
      <c r="B311" s="17"/>
      <c r="C311" s="17"/>
      <c r="D311" s="17"/>
      <c r="E311" s="17"/>
      <c r="F311" s="17"/>
      <c r="G311" s="17"/>
      <c r="H311" s="17"/>
    </row>
    <row r="312" spans="2:8" x14ac:dyDescent="0.3">
      <c r="B312" s="17"/>
      <c r="C312" s="17"/>
      <c r="D312" s="17"/>
      <c r="E312" s="17"/>
      <c r="F312" s="17"/>
      <c r="G312" s="17"/>
      <c r="H312" s="17"/>
    </row>
    <row r="313" spans="2:8" x14ac:dyDescent="0.3">
      <c r="B313" s="17"/>
      <c r="C313" s="17"/>
      <c r="D313" s="17"/>
      <c r="E313" s="17"/>
      <c r="F313" s="17"/>
      <c r="G313" s="17"/>
      <c r="H313" s="17"/>
    </row>
    <row r="314" spans="2:8" x14ac:dyDescent="0.3">
      <c r="B314" s="17"/>
      <c r="C314" s="17"/>
      <c r="D314" s="17"/>
      <c r="E314" s="17"/>
      <c r="F314" s="17"/>
      <c r="G314" s="17"/>
      <c r="H314" s="17"/>
    </row>
    <row r="315" spans="2:8" x14ac:dyDescent="0.3">
      <c r="B315" s="17"/>
      <c r="C315" s="17"/>
      <c r="D315" s="17"/>
      <c r="E315" s="17"/>
      <c r="F315" s="17"/>
      <c r="G315" s="17"/>
      <c r="H315" s="17"/>
    </row>
    <row r="316" spans="2:8" x14ac:dyDescent="0.3">
      <c r="B316" s="17"/>
      <c r="C316" s="17"/>
      <c r="D316" s="17"/>
      <c r="E316" s="17"/>
      <c r="F316" s="17"/>
      <c r="G316" s="17"/>
      <c r="H316" s="17"/>
    </row>
    <row r="317" spans="2:8" x14ac:dyDescent="0.3">
      <c r="B317" s="17"/>
      <c r="C317" s="17"/>
      <c r="D317" s="17"/>
      <c r="E317" s="17"/>
      <c r="F317" s="17"/>
      <c r="G317" s="17"/>
      <c r="H317" s="17"/>
    </row>
    <row r="318" spans="2:8" x14ac:dyDescent="0.3">
      <c r="B318" s="17"/>
      <c r="C318" s="17"/>
      <c r="D318" s="17"/>
      <c r="E318" s="17"/>
      <c r="F318" s="17"/>
      <c r="G318" s="17"/>
      <c r="H318" s="17"/>
    </row>
    <row r="319" spans="2:8" x14ac:dyDescent="0.3">
      <c r="B319" s="17"/>
      <c r="C319" s="17"/>
      <c r="D319" s="17"/>
      <c r="E319" s="17"/>
      <c r="F319" s="17"/>
      <c r="G319" s="17"/>
      <c r="H319" s="17"/>
    </row>
    <row r="320" spans="2:8" x14ac:dyDescent="0.3">
      <c r="B320" s="17"/>
      <c r="C320" s="17"/>
      <c r="D320" s="17"/>
      <c r="E320" s="17"/>
      <c r="F320" s="17"/>
      <c r="G320" s="17"/>
      <c r="H320" s="17"/>
    </row>
    <row r="321" spans="2:8" x14ac:dyDescent="0.3">
      <c r="B321" s="17"/>
      <c r="C321" s="17"/>
      <c r="D321" s="17"/>
      <c r="E321" s="17"/>
      <c r="F321" s="17"/>
      <c r="G321" s="17"/>
      <c r="H321" s="17"/>
    </row>
    <row r="322" spans="2:8" x14ac:dyDescent="0.3">
      <c r="B322" s="17"/>
      <c r="C322" s="17"/>
      <c r="D322" s="17"/>
      <c r="E322" s="17"/>
      <c r="F322" s="17"/>
      <c r="G322" s="17"/>
      <c r="H322" s="17"/>
    </row>
    <row r="323" spans="2:8" x14ac:dyDescent="0.3">
      <c r="B323" s="17"/>
      <c r="C323" s="17"/>
      <c r="D323" s="17"/>
      <c r="E323" s="17"/>
      <c r="F323" s="17"/>
      <c r="G323" s="17"/>
      <c r="H323" s="17"/>
    </row>
    <row r="324" spans="2:8" x14ac:dyDescent="0.3">
      <c r="B324" s="17"/>
      <c r="C324" s="17"/>
      <c r="D324" s="17"/>
      <c r="E324" s="17"/>
      <c r="F324" s="17"/>
      <c r="G324" s="17"/>
      <c r="H324" s="17"/>
    </row>
    <row r="325" spans="2:8" x14ac:dyDescent="0.3">
      <c r="B325" s="17"/>
      <c r="C325" s="17"/>
      <c r="D325" s="17"/>
      <c r="E325" s="17"/>
      <c r="F325" s="17"/>
      <c r="G325" s="17"/>
      <c r="H325" s="17"/>
    </row>
    <row r="326" spans="2:8" x14ac:dyDescent="0.3">
      <c r="B326" s="17"/>
      <c r="C326" s="17"/>
      <c r="D326" s="17"/>
      <c r="E326" s="17"/>
      <c r="F326" s="17"/>
      <c r="G326" s="17"/>
      <c r="H326" s="17"/>
    </row>
    <row r="327" spans="2:8" x14ac:dyDescent="0.3">
      <c r="B327" s="17"/>
      <c r="C327" s="17"/>
      <c r="D327" s="17"/>
      <c r="E327" s="17"/>
      <c r="F327" s="17"/>
      <c r="G327" s="17"/>
      <c r="H327" s="17"/>
    </row>
    <row r="328" spans="2:8" x14ac:dyDescent="0.3">
      <c r="B328" s="17"/>
      <c r="C328" s="17"/>
      <c r="D328" s="17"/>
      <c r="E328" s="17"/>
      <c r="F328" s="17"/>
      <c r="G328" s="17"/>
      <c r="H328" s="17"/>
    </row>
    <row r="329" spans="2:8" x14ac:dyDescent="0.3">
      <c r="B329" s="17"/>
      <c r="C329" s="17"/>
      <c r="D329" s="17"/>
      <c r="E329" s="17"/>
      <c r="F329" s="17"/>
      <c r="G329" s="17"/>
      <c r="H329" s="17"/>
    </row>
    <row r="330" spans="2:8" x14ac:dyDescent="0.3">
      <c r="B330" s="17"/>
      <c r="C330" s="17"/>
      <c r="D330" s="17"/>
      <c r="E330" s="17"/>
      <c r="F330" s="17"/>
      <c r="G330" s="17"/>
      <c r="H330" s="17"/>
    </row>
    <row r="331" spans="2:8" x14ac:dyDescent="0.3">
      <c r="B331" s="17"/>
      <c r="C331" s="17"/>
      <c r="D331" s="17"/>
      <c r="E331" s="17"/>
      <c r="F331" s="17"/>
      <c r="G331" s="17"/>
      <c r="H331" s="17"/>
    </row>
    <row r="332" spans="2:8" x14ac:dyDescent="0.3">
      <c r="B332" s="17"/>
      <c r="C332" s="17"/>
      <c r="D332" s="17"/>
      <c r="E332" s="17"/>
      <c r="F332" s="17"/>
      <c r="G332" s="17"/>
      <c r="H332" s="17"/>
    </row>
    <row r="333" spans="2:8" x14ac:dyDescent="0.3">
      <c r="B333" s="17"/>
      <c r="C333" s="17"/>
      <c r="D333" s="17"/>
      <c r="E333" s="17"/>
      <c r="F333" s="17"/>
      <c r="G333" s="17"/>
      <c r="H333" s="17"/>
    </row>
    <row r="334" spans="2:8" x14ac:dyDescent="0.3">
      <c r="B334" s="17"/>
      <c r="C334" s="17"/>
      <c r="D334" s="17"/>
      <c r="E334" s="17"/>
      <c r="F334" s="17"/>
      <c r="G334" s="17"/>
      <c r="H334" s="17"/>
    </row>
    <row r="335" spans="2:8" x14ac:dyDescent="0.3">
      <c r="B335" s="17"/>
      <c r="C335" s="17"/>
      <c r="D335" s="17"/>
      <c r="E335" s="17"/>
      <c r="F335" s="17"/>
      <c r="G335" s="17"/>
      <c r="H335" s="17"/>
    </row>
    <row r="336" spans="2:8" x14ac:dyDescent="0.3">
      <c r="B336" s="17"/>
      <c r="C336" s="17"/>
      <c r="D336" s="17"/>
      <c r="E336" s="17"/>
      <c r="F336" s="17"/>
      <c r="G336" s="17"/>
      <c r="H336" s="17"/>
    </row>
    <row r="337" spans="2:8" x14ac:dyDescent="0.3">
      <c r="B337" s="17"/>
      <c r="C337" s="17"/>
      <c r="D337" s="17"/>
      <c r="E337" s="17"/>
      <c r="F337" s="17"/>
      <c r="G337" s="17"/>
      <c r="H337" s="17"/>
    </row>
    <row r="338" spans="2:8" x14ac:dyDescent="0.3">
      <c r="B338" s="17"/>
      <c r="C338" s="17"/>
      <c r="D338" s="17"/>
      <c r="E338" s="17"/>
      <c r="F338" s="17"/>
      <c r="G338" s="17"/>
      <c r="H338" s="17"/>
    </row>
    <row r="339" spans="2:8" x14ac:dyDescent="0.3">
      <c r="B339" s="17"/>
      <c r="C339" s="17"/>
      <c r="D339" s="17"/>
      <c r="E339" s="17"/>
      <c r="F339" s="17"/>
      <c r="G339" s="17"/>
      <c r="H339" s="17"/>
    </row>
    <row r="340" spans="2:8" x14ac:dyDescent="0.3">
      <c r="B340" s="17"/>
      <c r="C340" s="17"/>
      <c r="D340" s="17"/>
      <c r="E340" s="17"/>
      <c r="F340" s="17"/>
      <c r="G340" s="17"/>
      <c r="H340" s="17"/>
    </row>
    <row r="341" spans="2:8" x14ac:dyDescent="0.3">
      <c r="B341" s="17"/>
      <c r="C341" s="17"/>
      <c r="D341" s="17"/>
      <c r="E341" s="17"/>
      <c r="F341" s="17"/>
      <c r="G341" s="17"/>
      <c r="H341" s="17"/>
    </row>
    <row r="342" spans="2:8" x14ac:dyDescent="0.3">
      <c r="B342" s="17"/>
      <c r="C342" s="17"/>
      <c r="D342" s="17"/>
      <c r="E342" s="17"/>
      <c r="F342" s="17"/>
      <c r="G342" s="17"/>
      <c r="H342" s="17"/>
    </row>
    <row r="343" spans="2:8" x14ac:dyDescent="0.3">
      <c r="B343" s="17"/>
      <c r="C343" s="17"/>
      <c r="D343" s="17"/>
      <c r="E343" s="17"/>
      <c r="F343" s="17"/>
      <c r="G343" s="17"/>
      <c r="H343" s="17"/>
    </row>
    <row r="344" spans="2:8" x14ac:dyDescent="0.3">
      <c r="B344" s="17"/>
      <c r="C344" s="17"/>
      <c r="D344" s="17"/>
      <c r="E344" s="17"/>
      <c r="F344" s="17"/>
      <c r="G344" s="17"/>
      <c r="H344" s="17"/>
    </row>
    <row r="345" spans="2:8" x14ac:dyDescent="0.3">
      <c r="B345" s="17"/>
      <c r="C345" s="17"/>
      <c r="D345" s="17"/>
      <c r="E345" s="17"/>
      <c r="F345" s="17"/>
      <c r="G345" s="17"/>
      <c r="H345" s="17"/>
    </row>
    <row r="346" spans="2:8" x14ac:dyDescent="0.3">
      <c r="B346" s="17"/>
      <c r="C346" s="17"/>
      <c r="D346" s="17"/>
      <c r="E346" s="17"/>
      <c r="F346" s="17"/>
      <c r="G346" s="17"/>
      <c r="H346" s="17"/>
    </row>
    <row r="347" spans="2:8" x14ac:dyDescent="0.3">
      <c r="B347" s="17"/>
      <c r="C347" s="17"/>
      <c r="D347" s="17"/>
      <c r="E347" s="17"/>
      <c r="F347" s="17"/>
      <c r="G347" s="17"/>
      <c r="H347" s="17"/>
    </row>
    <row r="348" spans="2:8" x14ac:dyDescent="0.3">
      <c r="B348" s="17"/>
      <c r="C348" s="17"/>
      <c r="D348" s="17"/>
      <c r="E348" s="17"/>
      <c r="F348" s="17"/>
      <c r="G348" s="17"/>
      <c r="H348" s="17"/>
    </row>
    <row r="349" spans="2:8" x14ac:dyDescent="0.3">
      <c r="B349" s="17"/>
      <c r="C349" s="17"/>
      <c r="D349" s="17"/>
      <c r="E349" s="17"/>
      <c r="F349" s="17"/>
      <c r="G349" s="17"/>
      <c r="H349" s="17"/>
    </row>
    <row r="350" spans="2:8" x14ac:dyDescent="0.3">
      <c r="B350" s="17"/>
      <c r="C350" s="17"/>
      <c r="D350" s="17"/>
      <c r="E350" s="17"/>
      <c r="F350" s="17"/>
      <c r="G350" s="17"/>
      <c r="H350" s="17"/>
    </row>
    <row r="351" spans="2:8" x14ac:dyDescent="0.3">
      <c r="B351" s="17"/>
      <c r="C351" s="17"/>
      <c r="D351" s="17"/>
      <c r="E351" s="17"/>
      <c r="F351" s="17"/>
      <c r="G351" s="17"/>
      <c r="H351" s="17"/>
    </row>
    <row r="352" spans="2:8" x14ac:dyDescent="0.3">
      <c r="B352" s="17"/>
      <c r="C352" s="17"/>
      <c r="D352" s="17"/>
      <c r="E352" s="17"/>
      <c r="F352" s="17"/>
      <c r="G352" s="17"/>
      <c r="H352" s="17"/>
    </row>
    <row r="353" spans="2:8" x14ac:dyDescent="0.3">
      <c r="B353" s="17"/>
      <c r="C353" s="17"/>
      <c r="D353" s="17"/>
      <c r="E353" s="17"/>
      <c r="F353" s="17"/>
      <c r="G353" s="17"/>
      <c r="H353" s="17"/>
    </row>
    <row r="354" spans="2:8" x14ac:dyDescent="0.3">
      <c r="B354" s="17"/>
      <c r="C354" s="17"/>
      <c r="D354" s="17"/>
      <c r="E354" s="17"/>
      <c r="F354" s="17"/>
      <c r="G354" s="17"/>
      <c r="H354" s="17"/>
    </row>
    <row r="355" spans="2:8" x14ac:dyDescent="0.3">
      <c r="B355" s="17"/>
      <c r="C355" s="17"/>
      <c r="D355" s="17"/>
      <c r="E355" s="17"/>
      <c r="F355" s="17"/>
      <c r="G355" s="17"/>
      <c r="H355" s="17"/>
    </row>
    <row r="356" spans="2:8" x14ac:dyDescent="0.3">
      <c r="B356" s="17"/>
      <c r="C356" s="17"/>
      <c r="D356" s="17"/>
      <c r="E356" s="17"/>
      <c r="F356" s="17"/>
      <c r="G356" s="17"/>
      <c r="H356" s="17"/>
    </row>
    <row r="357" spans="2:8" x14ac:dyDescent="0.3">
      <c r="B357" s="17"/>
      <c r="C357" s="17"/>
      <c r="D357" s="17"/>
      <c r="E357" s="17"/>
      <c r="F357" s="17"/>
      <c r="G357" s="17"/>
      <c r="H357" s="17"/>
    </row>
    <row r="358" spans="2:8" x14ac:dyDescent="0.3">
      <c r="B358" s="17"/>
      <c r="C358" s="17"/>
      <c r="D358" s="17"/>
      <c r="E358" s="17"/>
      <c r="F358" s="17"/>
      <c r="G358" s="17"/>
      <c r="H358" s="17"/>
    </row>
    <row r="359" spans="2:8" x14ac:dyDescent="0.3">
      <c r="B359" s="17"/>
      <c r="C359" s="17"/>
      <c r="D359" s="17"/>
      <c r="E359" s="17"/>
      <c r="F359" s="17"/>
      <c r="G359" s="17"/>
      <c r="H359" s="17"/>
    </row>
    <row r="360" spans="2:8" x14ac:dyDescent="0.3">
      <c r="B360" s="17"/>
      <c r="C360" s="17"/>
      <c r="D360" s="17"/>
      <c r="E360" s="17"/>
      <c r="F360" s="17"/>
      <c r="G360" s="17"/>
      <c r="H360" s="17"/>
    </row>
    <row r="361" spans="2:8" x14ac:dyDescent="0.3">
      <c r="B361" s="17"/>
      <c r="C361" s="17"/>
      <c r="D361" s="17"/>
      <c r="E361" s="17"/>
      <c r="F361" s="17"/>
      <c r="G361" s="17"/>
      <c r="H361" s="17"/>
    </row>
    <row r="362" spans="2:8" x14ac:dyDescent="0.3">
      <c r="B362" s="17"/>
      <c r="C362" s="17"/>
      <c r="D362" s="17"/>
      <c r="E362" s="17"/>
      <c r="F362" s="17"/>
      <c r="G362" s="17"/>
      <c r="H362" s="17"/>
    </row>
    <row r="363" spans="2:8" x14ac:dyDescent="0.3">
      <c r="B363" s="17"/>
      <c r="C363" s="17"/>
      <c r="D363" s="17"/>
      <c r="E363" s="17"/>
      <c r="F363" s="17"/>
      <c r="G363" s="17"/>
      <c r="H363" s="17"/>
    </row>
    <row r="364" spans="2:8" x14ac:dyDescent="0.3">
      <c r="B364" s="17"/>
      <c r="C364" s="17"/>
      <c r="D364" s="17"/>
      <c r="E364" s="17"/>
      <c r="F364" s="17"/>
      <c r="G364" s="17"/>
      <c r="H364" s="17"/>
    </row>
    <row r="365" spans="2:8" x14ac:dyDescent="0.3">
      <c r="B365" s="17"/>
      <c r="C365" s="17"/>
      <c r="D365" s="17"/>
      <c r="E365" s="17"/>
      <c r="F365" s="17"/>
      <c r="G365" s="17"/>
      <c r="H365" s="17"/>
    </row>
    <row r="366" spans="2:8" x14ac:dyDescent="0.3">
      <c r="B366" s="17"/>
      <c r="C366" s="17"/>
      <c r="D366" s="17"/>
      <c r="E366" s="17"/>
      <c r="F366" s="17"/>
      <c r="G366" s="17"/>
      <c r="H366" s="17"/>
    </row>
    <row r="367" spans="2:8" x14ac:dyDescent="0.3">
      <c r="B367" s="17"/>
      <c r="C367" s="17"/>
      <c r="D367" s="17"/>
      <c r="E367" s="17"/>
      <c r="F367" s="17"/>
      <c r="G367" s="17"/>
      <c r="H367" s="17"/>
    </row>
    <row r="368" spans="2:8" x14ac:dyDescent="0.3">
      <c r="B368" s="17"/>
      <c r="C368" s="17"/>
      <c r="D368" s="17"/>
      <c r="E368" s="17"/>
      <c r="F368" s="17"/>
      <c r="G368" s="17"/>
      <c r="H368" s="17"/>
    </row>
    <row r="369" spans="2:8" x14ac:dyDescent="0.3">
      <c r="B369" s="17"/>
      <c r="C369" s="17"/>
      <c r="D369" s="17"/>
      <c r="E369" s="17"/>
      <c r="F369" s="17"/>
      <c r="G369" s="17"/>
      <c r="H369" s="17"/>
    </row>
    <row r="370" spans="2:8" x14ac:dyDescent="0.3">
      <c r="B370" s="17"/>
      <c r="C370" s="17"/>
      <c r="D370" s="17"/>
      <c r="E370" s="17"/>
      <c r="F370" s="17"/>
      <c r="G370" s="17"/>
      <c r="H370" s="17"/>
    </row>
    <row r="371" spans="2:8" x14ac:dyDescent="0.3">
      <c r="B371" s="17"/>
      <c r="C371" s="17"/>
      <c r="D371" s="17"/>
      <c r="E371" s="17"/>
      <c r="F371" s="17"/>
      <c r="G371" s="17"/>
      <c r="H371" s="17"/>
    </row>
    <row r="372" spans="2:8" x14ac:dyDescent="0.3">
      <c r="B372" s="17"/>
      <c r="C372" s="17"/>
      <c r="D372" s="17"/>
      <c r="E372" s="17"/>
      <c r="F372" s="17"/>
      <c r="G372" s="17"/>
      <c r="H372" s="17"/>
    </row>
    <row r="373" spans="2:8" x14ac:dyDescent="0.3">
      <c r="B373" s="17"/>
      <c r="C373" s="17"/>
      <c r="D373" s="17"/>
      <c r="E373" s="17"/>
      <c r="F373" s="17"/>
      <c r="G373" s="17"/>
      <c r="H373" s="17"/>
    </row>
    <row r="374" spans="2:8" x14ac:dyDescent="0.3">
      <c r="B374" s="17"/>
      <c r="C374" s="17"/>
      <c r="D374" s="17"/>
      <c r="E374" s="17"/>
      <c r="F374" s="17"/>
      <c r="G374" s="17"/>
      <c r="H374" s="17"/>
    </row>
    <row r="375" spans="2:8" x14ac:dyDescent="0.3">
      <c r="B375" s="17"/>
      <c r="C375" s="17"/>
      <c r="D375" s="17"/>
      <c r="E375" s="17"/>
      <c r="F375" s="17"/>
      <c r="G375" s="17"/>
      <c r="H375" s="17"/>
    </row>
    <row r="376" spans="2:8" x14ac:dyDescent="0.3">
      <c r="B376" s="17"/>
      <c r="C376" s="17"/>
      <c r="D376" s="17"/>
      <c r="E376" s="17"/>
      <c r="F376" s="17"/>
      <c r="G376" s="17"/>
      <c r="H376" s="17"/>
    </row>
    <row r="377" spans="2:8" x14ac:dyDescent="0.3">
      <c r="B377" s="17"/>
      <c r="C377" s="17"/>
      <c r="D377" s="17"/>
      <c r="E377" s="17"/>
      <c r="F377" s="17"/>
      <c r="G377" s="17"/>
      <c r="H377" s="17"/>
    </row>
    <row r="378" spans="2:8" x14ac:dyDescent="0.3">
      <c r="B378" s="17"/>
      <c r="C378" s="17"/>
      <c r="D378" s="17"/>
      <c r="E378" s="17"/>
      <c r="F378" s="17"/>
      <c r="G378" s="17"/>
      <c r="H378" s="17"/>
    </row>
    <row r="379" spans="2:8" x14ac:dyDescent="0.3">
      <c r="B379" s="17"/>
      <c r="C379" s="17"/>
      <c r="D379" s="17"/>
      <c r="E379" s="17"/>
      <c r="F379" s="17"/>
      <c r="G379" s="17"/>
      <c r="H379" s="17"/>
    </row>
    <row r="380" spans="2:8" x14ac:dyDescent="0.3">
      <c r="B380" s="17"/>
      <c r="C380" s="17"/>
      <c r="D380" s="17"/>
      <c r="E380" s="17"/>
      <c r="F380" s="17"/>
      <c r="G380" s="17"/>
      <c r="H380" s="17"/>
    </row>
    <row r="381" spans="2:8" x14ac:dyDescent="0.3">
      <c r="B381" s="17"/>
      <c r="C381" s="17"/>
      <c r="D381" s="17"/>
      <c r="E381" s="17"/>
      <c r="F381" s="17"/>
      <c r="G381" s="17"/>
      <c r="H381" s="17"/>
    </row>
    <row r="382" spans="2:8" x14ac:dyDescent="0.3">
      <c r="B382" s="17"/>
      <c r="C382" s="17"/>
      <c r="D382" s="17"/>
      <c r="E382" s="17"/>
      <c r="F382" s="17"/>
      <c r="G382" s="17"/>
      <c r="H382" s="17"/>
    </row>
    <row r="383" spans="2:8" x14ac:dyDescent="0.3">
      <c r="B383" s="17"/>
      <c r="C383" s="17"/>
      <c r="D383" s="17"/>
      <c r="E383" s="17"/>
      <c r="F383" s="17"/>
      <c r="G383" s="17"/>
      <c r="H383" s="17"/>
    </row>
    <row r="384" spans="2:8" x14ac:dyDescent="0.3">
      <c r="B384" s="17"/>
      <c r="C384" s="17"/>
      <c r="D384" s="17"/>
      <c r="E384" s="17"/>
      <c r="F384" s="17"/>
      <c r="G384" s="17"/>
      <c r="H384" s="17"/>
    </row>
    <row r="385" spans="2:8" x14ac:dyDescent="0.3">
      <c r="B385" s="17"/>
      <c r="C385" s="17"/>
      <c r="D385" s="17"/>
      <c r="E385" s="17"/>
      <c r="F385" s="17"/>
      <c r="G385" s="17"/>
      <c r="H385" s="17"/>
    </row>
    <row r="386" spans="2:8" x14ac:dyDescent="0.3">
      <c r="B386" s="17"/>
      <c r="C386" s="17"/>
      <c r="D386" s="17"/>
      <c r="E386" s="17"/>
      <c r="F386" s="17"/>
      <c r="G386" s="17"/>
      <c r="H386" s="17"/>
    </row>
    <row r="387" spans="2:8" x14ac:dyDescent="0.3">
      <c r="B387" s="17"/>
      <c r="C387" s="17"/>
      <c r="D387" s="17"/>
      <c r="E387" s="17"/>
      <c r="F387" s="17"/>
      <c r="G387" s="17"/>
      <c r="H387" s="17"/>
    </row>
    <row r="388" spans="2:8" x14ac:dyDescent="0.3">
      <c r="B388" s="17"/>
      <c r="C388" s="17"/>
      <c r="D388" s="17"/>
      <c r="E388" s="17"/>
      <c r="F388" s="17"/>
      <c r="G388" s="17"/>
      <c r="H388" s="17"/>
    </row>
    <row r="389" spans="2:8" x14ac:dyDescent="0.3">
      <c r="B389" s="17"/>
      <c r="C389" s="17"/>
      <c r="D389" s="17"/>
      <c r="E389" s="17"/>
      <c r="F389" s="17"/>
      <c r="G389" s="17"/>
      <c r="H389" s="17"/>
    </row>
    <row r="390" spans="2:8" x14ac:dyDescent="0.3">
      <c r="B390" s="17"/>
      <c r="C390" s="17"/>
      <c r="D390" s="17"/>
      <c r="E390" s="17"/>
      <c r="F390" s="17"/>
      <c r="G390" s="17"/>
      <c r="H390" s="17"/>
    </row>
    <row r="391" spans="2:8" x14ac:dyDescent="0.3">
      <c r="B391" s="17"/>
      <c r="C391" s="17"/>
      <c r="D391" s="17"/>
      <c r="E391" s="17"/>
      <c r="F391" s="17"/>
      <c r="G391" s="17"/>
      <c r="H391" s="17"/>
    </row>
    <row r="392" spans="2:8" x14ac:dyDescent="0.3">
      <c r="B392" s="17"/>
      <c r="C392" s="17"/>
      <c r="D392" s="17"/>
      <c r="E392" s="17"/>
      <c r="F392" s="17"/>
      <c r="G392" s="17"/>
      <c r="H392" s="17"/>
    </row>
    <row r="393" spans="2:8" x14ac:dyDescent="0.3">
      <c r="B393" s="17"/>
      <c r="C393" s="17"/>
      <c r="D393" s="17"/>
      <c r="E393" s="17"/>
      <c r="F393" s="17"/>
      <c r="G393" s="17"/>
      <c r="H393" s="17"/>
    </row>
    <row r="394" spans="2:8" x14ac:dyDescent="0.3">
      <c r="B394" s="17"/>
      <c r="C394" s="17"/>
      <c r="D394" s="17"/>
      <c r="E394" s="17"/>
      <c r="F394" s="17"/>
      <c r="G394" s="17"/>
      <c r="H394" s="17"/>
    </row>
    <row r="395" spans="2:8" x14ac:dyDescent="0.3">
      <c r="B395" s="17"/>
      <c r="C395" s="17"/>
      <c r="D395" s="17"/>
      <c r="E395" s="17"/>
      <c r="F395" s="17"/>
      <c r="G395" s="17"/>
      <c r="H395" s="17"/>
    </row>
    <row r="396" spans="2:8" x14ac:dyDescent="0.3">
      <c r="B396" s="17"/>
      <c r="C396" s="17"/>
      <c r="D396" s="17"/>
      <c r="E396" s="17"/>
      <c r="F396" s="17"/>
      <c r="G396" s="17"/>
      <c r="H396" s="17"/>
    </row>
    <row r="397" spans="2:8" x14ac:dyDescent="0.3">
      <c r="B397" s="17"/>
      <c r="C397" s="17"/>
      <c r="D397" s="17"/>
      <c r="E397" s="17"/>
      <c r="F397" s="17"/>
      <c r="G397" s="17"/>
      <c r="H397" s="17"/>
    </row>
    <row r="398" spans="2:8" x14ac:dyDescent="0.3">
      <c r="B398" s="17"/>
      <c r="C398" s="17"/>
      <c r="D398" s="17"/>
      <c r="E398" s="17"/>
      <c r="F398" s="17"/>
      <c r="G398" s="17"/>
      <c r="H398" s="17"/>
    </row>
    <row r="399" spans="2:8" x14ac:dyDescent="0.3">
      <c r="B399" s="17"/>
      <c r="C399" s="17"/>
      <c r="D399" s="17"/>
      <c r="E399" s="17"/>
      <c r="F399" s="17"/>
      <c r="G399" s="17"/>
      <c r="H399" s="17"/>
    </row>
    <row r="400" spans="2:8" x14ac:dyDescent="0.3">
      <c r="B400" s="17"/>
      <c r="C400" s="17"/>
      <c r="D400" s="17"/>
      <c r="E400" s="17"/>
      <c r="F400" s="17"/>
      <c r="G400" s="17"/>
      <c r="H400" s="17"/>
    </row>
    <row r="401" spans="2:8" x14ac:dyDescent="0.3">
      <c r="B401" s="17"/>
      <c r="C401" s="17"/>
      <c r="D401" s="17"/>
      <c r="E401" s="17"/>
      <c r="F401" s="17"/>
      <c r="G401" s="17"/>
      <c r="H401" s="17"/>
    </row>
    <row r="402" spans="2:8" x14ac:dyDescent="0.3">
      <c r="B402" s="17"/>
      <c r="C402" s="17"/>
      <c r="D402" s="17"/>
      <c r="E402" s="17"/>
      <c r="F402" s="17"/>
      <c r="G402" s="17"/>
      <c r="H402" s="17"/>
    </row>
    <row r="403" spans="2:8" x14ac:dyDescent="0.3">
      <c r="B403" s="17"/>
      <c r="C403" s="17"/>
      <c r="D403" s="17"/>
      <c r="E403" s="17"/>
      <c r="F403" s="17"/>
      <c r="G403" s="17"/>
      <c r="H403" s="17"/>
    </row>
    <row r="404" spans="2:8" x14ac:dyDescent="0.3">
      <c r="B404" s="17"/>
      <c r="C404" s="17"/>
      <c r="D404" s="17"/>
      <c r="E404" s="17"/>
      <c r="F404" s="17"/>
      <c r="G404" s="17"/>
      <c r="H404" s="17"/>
    </row>
    <row r="405" spans="2:8" x14ac:dyDescent="0.3">
      <c r="B405" s="17"/>
      <c r="C405" s="17"/>
      <c r="D405" s="17"/>
      <c r="E405" s="17"/>
      <c r="F405" s="17"/>
      <c r="G405" s="17"/>
      <c r="H405" s="17"/>
    </row>
    <row r="406" spans="2:8" x14ac:dyDescent="0.3">
      <c r="B406" s="17"/>
      <c r="C406" s="17"/>
      <c r="D406" s="17"/>
      <c r="E406" s="17"/>
      <c r="F406" s="17"/>
      <c r="G406" s="17"/>
      <c r="H406" s="17"/>
    </row>
    <row r="407" spans="2:8" x14ac:dyDescent="0.3">
      <c r="B407" s="17"/>
      <c r="C407" s="17"/>
      <c r="D407" s="17"/>
      <c r="E407" s="17"/>
      <c r="F407" s="17"/>
      <c r="G407" s="17"/>
      <c r="H407" s="17"/>
    </row>
    <row r="408" spans="2:8" x14ac:dyDescent="0.3">
      <c r="B408" s="17"/>
      <c r="C408" s="17"/>
      <c r="D408" s="17"/>
      <c r="E408" s="17"/>
      <c r="F408" s="17"/>
      <c r="G408" s="17"/>
      <c r="H408" s="17"/>
    </row>
    <row r="409" spans="2:8" x14ac:dyDescent="0.3">
      <c r="B409" s="17"/>
      <c r="C409" s="17"/>
      <c r="D409" s="17"/>
      <c r="E409" s="17"/>
      <c r="F409" s="17"/>
      <c r="G409" s="17"/>
      <c r="H409" s="17"/>
    </row>
    <row r="410" spans="2:8" x14ac:dyDescent="0.3">
      <c r="B410" s="17"/>
      <c r="C410" s="17"/>
      <c r="D410" s="17"/>
      <c r="E410" s="17"/>
      <c r="F410" s="17"/>
      <c r="G410" s="17"/>
      <c r="H410" s="17"/>
    </row>
    <row r="411" spans="2:8" x14ac:dyDescent="0.3">
      <c r="B411" s="17"/>
      <c r="C411" s="17"/>
      <c r="D411" s="17"/>
      <c r="E411" s="17"/>
      <c r="F411" s="17"/>
      <c r="G411" s="17"/>
      <c r="H411"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D0F7-0E0B-43B1-BDA4-470A3753962D}">
  <dimension ref="A3:H58"/>
  <sheetViews>
    <sheetView topLeftCell="A26" workbookViewId="0">
      <selection activeCell="B53" sqref="B53:B57"/>
      <pivotSelection pane="bottomRight" showHeader="1" axis="axisRow" activeRow="52" activeCol="1" previousRow="52" previousCol="1" click="1" r:id="rId1">
        <pivotArea dataOnly="0" labelOnly="1" fieldPosition="0">
          <references count="1">
            <reference field="7" count="0"/>
          </references>
        </pivotArea>
      </pivotSelection>
    </sheetView>
  </sheetViews>
  <sheetFormatPr defaultRowHeight="14.4" x14ac:dyDescent="0.3"/>
  <cols>
    <col min="1" max="1" width="15.88671875" bestFit="1" customWidth="1"/>
    <col min="2" max="2" width="15.5546875" bestFit="1" customWidth="1"/>
    <col min="3" max="3" width="9.5546875" bestFit="1" customWidth="1"/>
    <col min="4" max="4" width="10.33203125" bestFit="1" customWidth="1"/>
    <col min="5" max="5" width="9.5546875" bestFit="1" customWidth="1"/>
    <col min="6" max="6" width="14.33203125" bestFit="1" customWidth="1"/>
    <col min="7" max="8" width="10.5546875" bestFit="1" customWidth="1"/>
  </cols>
  <sheetData>
    <row r="3" spans="1:7" x14ac:dyDescent="0.3">
      <c r="A3" s="14" t="s">
        <v>29</v>
      </c>
      <c r="B3" s="14" t="s">
        <v>52</v>
      </c>
    </row>
    <row r="4" spans="1:7" x14ac:dyDescent="0.3">
      <c r="A4" s="14" t="s">
        <v>27</v>
      </c>
      <c r="B4" t="s">
        <v>16</v>
      </c>
      <c r="C4" t="s">
        <v>9</v>
      </c>
      <c r="D4" t="s">
        <v>19</v>
      </c>
      <c r="E4" t="s">
        <v>14</v>
      </c>
      <c r="F4" t="s">
        <v>12</v>
      </c>
      <c r="G4" t="s">
        <v>28</v>
      </c>
    </row>
    <row r="5" spans="1:7" x14ac:dyDescent="0.3">
      <c r="A5" s="15" t="s">
        <v>10</v>
      </c>
      <c r="B5" s="13">
        <v>29431.727099999996</v>
      </c>
      <c r="C5" s="13">
        <v>18088.379499999999</v>
      </c>
      <c r="D5" s="13">
        <v>21565.478999999999</v>
      </c>
      <c r="E5" s="13">
        <v>19435.602699999999</v>
      </c>
      <c r="F5" s="13">
        <v>26940.434200000003</v>
      </c>
      <c r="G5" s="13">
        <v>115461.6225</v>
      </c>
    </row>
    <row r="6" spans="1:7" x14ac:dyDescent="0.3">
      <c r="A6" s="15" t="s">
        <v>17</v>
      </c>
      <c r="B6" s="13">
        <v>31667.108799999998</v>
      </c>
      <c r="C6" s="13">
        <v>28108.097800000003</v>
      </c>
      <c r="D6" s="13">
        <v>11807.064</v>
      </c>
      <c r="E6" s="13">
        <v>22376.254000000001</v>
      </c>
      <c r="F6" s="13">
        <v>15742.477999999999</v>
      </c>
      <c r="G6" s="13">
        <v>109701.00260000001</v>
      </c>
    </row>
    <row r="7" spans="1:7" x14ac:dyDescent="0.3">
      <c r="A7" s="15" t="s">
        <v>13</v>
      </c>
      <c r="B7" s="13">
        <v>20602.208999999999</v>
      </c>
      <c r="C7" s="13">
        <v>26860.259300000002</v>
      </c>
      <c r="D7" s="13">
        <v>17050.7716</v>
      </c>
      <c r="E7" s="13">
        <v>24103.667599999993</v>
      </c>
      <c r="F7" s="13">
        <v>20739.068899999995</v>
      </c>
      <c r="G7" s="13">
        <v>109355.9764</v>
      </c>
    </row>
    <row r="8" spans="1:7" x14ac:dyDescent="0.3">
      <c r="A8" s="15" t="s">
        <v>20</v>
      </c>
      <c r="B8" s="13">
        <v>8866.9151000000002</v>
      </c>
      <c r="C8" s="13">
        <v>18228.211499999998</v>
      </c>
      <c r="D8" s="13">
        <v>22999.466600000003</v>
      </c>
      <c r="E8" s="13">
        <v>15768.5484</v>
      </c>
      <c r="F8" s="13">
        <v>19213.815300000002</v>
      </c>
      <c r="G8" s="13">
        <v>85076.956900000005</v>
      </c>
    </row>
    <row r="9" spans="1:7" x14ac:dyDescent="0.3">
      <c r="A9" s="15" t="s">
        <v>15</v>
      </c>
      <c r="B9" s="13">
        <v>33886.489599999994</v>
      </c>
      <c r="C9" s="13">
        <v>17171.124299999996</v>
      </c>
      <c r="D9" s="13">
        <v>20205.771999999997</v>
      </c>
      <c r="E9" s="13">
        <v>20017.246000000003</v>
      </c>
      <c r="F9" s="13">
        <v>29553.428300000007</v>
      </c>
      <c r="G9" s="13">
        <v>120834.06020000001</v>
      </c>
    </row>
    <row r="10" spans="1:7" x14ac:dyDescent="0.3">
      <c r="A10" s="15" t="s">
        <v>28</v>
      </c>
      <c r="B10" s="13">
        <v>124454.44959999999</v>
      </c>
      <c r="C10" s="13">
        <v>108456.0724</v>
      </c>
      <c r="D10" s="13">
        <v>93628.553199999995</v>
      </c>
      <c r="E10" s="13">
        <v>101701.31869999999</v>
      </c>
      <c r="F10" s="13">
        <v>112189.22470000002</v>
      </c>
      <c r="G10" s="13">
        <v>540429.61859999993</v>
      </c>
    </row>
    <row r="30" spans="1:1" x14ac:dyDescent="0.3">
      <c r="A30" s="13">
        <v>20602.208999999999</v>
      </c>
    </row>
    <row r="37" spans="1:7" x14ac:dyDescent="0.3">
      <c r="A37" s="14" t="s">
        <v>29</v>
      </c>
      <c r="B37" s="14" t="s">
        <v>52</v>
      </c>
    </row>
    <row r="38" spans="1:7" x14ac:dyDescent="0.3">
      <c r="A38" s="14" t="s">
        <v>27</v>
      </c>
      <c r="B38" t="s">
        <v>16</v>
      </c>
      <c r="C38" t="s">
        <v>9</v>
      </c>
      <c r="D38" t="s">
        <v>19</v>
      </c>
      <c r="E38" t="s">
        <v>14</v>
      </c>
      <c r="F38" t="s">
        <v>12</v>
      </c>
      <c r="G38" t="s">
        <v>28</v>
      </c>
    </row>
    <row r="39" spans="1:7" x14ac:dyDescent="0.3">
      <c r="A39" s="15" t="s">
        <v>10</v>
      </c>
      <c r="B39" s="13">
        <v>29431.727099999996</v>
      </c>
      <c r="C39" s="13">
        <v>18088.379499999999</v>
      </c>
      <c r="D39" s="13">
        <v>21565.478999999999</v>
      </c>
      <c r="E39" s="13">
        <v>19435.602699999999</v>
      </c>
      <c r="F39" s="13">
        <v>26940.434200000003</v>
      </c>
      <c r="G39" s="13">
        <v>115461.6225</v>
      </c>
    </row>
    <row r="40" spans="1:7" x14ac:dyDescent="0.3">
      <c r="A40" s="15" t="s">
        <v>17</v>
      </c>
      <c r="B40" s="13">
        <v>31667.108799999998</v>
      </c>
      <c r="C40" s="13">
        <v>28108.097800000003</v>
      </c>
      <c r="D40" s="13">
        <v>11807.064</v>
      </c>
      <c r="E40" s="13">
        <v>22376.254000000001</v>
      </c>
      <c r="F40" s="13">
        <v>15742.477999999999</v>
      </c>
      <c r="G40" s="13">
        <v>109701.00260000001</v>
      </c>
    </row>
    <row r="41" spans="1:7" x14ac:dyDescent="0.3">
      <c r="A41" s="15" t="s">
        <v>13</v>
      </c>
      <c r="B41" s="13">
        <v>20602.208999999999</v>
      </c>
      <c r="C41" s="13">
        <v>26860.259300000002</v>
      </c>
      <c r="D41" s="13">
        <v>17050.7716</v>
      </c>
      <c r="E41" s="13">
        <v>24103.667599999993</v>
      </c>
      <c r="F41" s="13">
        <v>20739.068899999995</v>
      </c>
      <c r="G41" s="13">
        <v>109355.9764</v>
      </c>
    </row>
    <row r="42" spans="1:7" x14ac:dyDescent="0.3">
      <c r="A42" s="15" t="s">
        <v>20</v>
      </c>
      <c r="B42" s="13">
        <v>8866.9151000000002</v>
      </c>
      <c r="C42" s="13">
        <v>18228.211499999998</v>
      </c>
      <c r="D42" s="13">
        <v>22999.466600000003</v>
      </c>
      <c r="E42" s="13">
        <v>15768.5484</v>
      </c>
      <c r="F42" s="13">
        <v>19213.815300000002</v>
      </c>
      <c r="G42" s="13">
        <v>85076.956900000005</v>
      </c>
    </row>
    <row r="43" spans="1:7" x14ac:dyDescent="0.3">
      <c r="A43" s="15" t="s">
        <v>15</v>
      </c>
      <c r="B43" s="13">
        <v>33886.489599999994</v>
      </c>
      <c r="C43" s="13">
        <v>17171.124299999996</v>
      </c>
      <c r="D43" s="13">
        <v>20205.771999999997</v>
      </c>
      <c r="E43" s="13">
        <v>20017.246000000003</v>
      </c>
      <c r="F43" s="13">
        <v>29553.428300000007</v>
      </c>
      <c r="G43" s="13">
        <v>120834.06020000001</v>
      </c>
    </row>
    <row r="44" spans="1:7" x14ac:dyDescent="0.3">
      <c r="A44" s="15" t="s">
        <v>28</v>
      </c>
      <c r="B44" s="13">
        <v>124454.44959999999</v>
      </c>
      <c r="C44" s="13">
        <v>108456.0724</v>
      </c>
      <c r="D44" s="13">
        <v>93628.553199999995</v>
      </c>
      <c r="E44" s="13">
        <v>101701.31869999999</v>
      </c>
      <c r="F44" s="13">
        <v>112189.22470000002</v>
      </c>
      <c r="G44" s="13">
        <v>540429.61859999993</v>
      </c>
    </row>
    <row r="51" spans="2:8" x14ac:dyDescent="0.3">
      <c r="B51" s="14" t="s">
        <v>29</v>
      </c>
      <c r="C51" s="14" t="s">
        <v>52</v>
      </c>
    </row>
    <row r="52" spans="2:8" x14ac:dyDescent="0.3">
      <c r="B52" s="14" t="s">
        <v>27</v>
      </c>
      <c r="C52" t="s">
        <v>16</v>
      </c>
      <c r="D52" t="s">
        <v>9</v>
      </c>
      <c r="E52" t="s">
        <v>19</v>
      </c>
      <c r="F52" t="s">
        <v>14</v>
      </c>
      <c r="G52" t="s">
        <v>12</v>
      </c>
      <c r="H52" t="s">
        <v>28</v>
      </c>
    </row>
    <row r="53" spans="2:8" x14ac:dyDescent="0.3">
      <c r="B53" s="15" t="s">
        <v>10</v>
      </c>
      <c r="C53" s="13">
        <v>29431.727099999996</v>
      </c>
      <c r="D53" s="13">
        <v>18088.379499999999</v>
      </c>
      <c r="E53" s="13">
        <v>21565.478999999999</v>
      </c>
      <c r="F53" s="13">
        <v>19435.602699999999</v>
      </c>
      <c r="G53" s="13">
        <v>26940.434200000003</v>
      </c>
      <c r="H53" s="13">
        <v>115461.6225</v>
      </c>
    </row>
    <row r="54" spans="2:8" x14ac:dyDescent="0.3">
      <c r="B54" s="15" t="s">
        <v>17</v>
      </c>
      <c r="C54" s="13">
        <v>31667.108799999998</v>
      </c>
      <c r="D54" s="13">
        <v>28108.097800000003</v>
      </c>
      <c r="E54" s="13">
        <v>11807.064</v>
      </c>
      <c r="F54" s="13">
        <v>22376.254000000001</v>
      </c>
      <c r="G54" s="13">
        <v>15742.477999999999</v>
      </c>
      <c r="H54" s="13">
        <v>109701.00260000001</v>
      </c>
    </row>
    <row r="55" spans="2:8" x14ac:dyDescent="0.3">
      <c r="B55" s="15" t="s">
        <v>13</v>
      </c>
      <c r="C55" s="13">
        <v>20602.208999999999</v>
      </c>
      <c r="D55" s="13">
        <v>26860.259300000002</v>
      </c>
      <c r="E55" s="13">
        <v>17050.7716</v>
      </c>
      <c r="F55" s="13">
        <v>24103.667599999993</v>
      </c>
      <c r="G55" s="13">
        <v>20739.068899999995</v>
      </c>
      <c r="H55" s="13">
        <v>109355.9764</v>
      </c>
    </row>
    <row r="56" spans="2:8" x14ac:dyDescent="0.3">
      <c r="B56" s="15" t="s">
        <v>20</v>
      </c>
      <c r="C56" s="13">
        <v>8866.9151000000002</v>
      </c>
      <c r="D56" s="13">
        <v>18228.211499999998</v>
      </c>
      <c r="E56" s="13">
        <v>22999.466600000003</v>
      </c>
      <c r="F56" s="13">
        <v>15768.5484</v>
      </c>
      <c r="G56" s="13">
        <v>19213.815300000002</v>
      </c>
      <c r="H56" s="13">
        <v>85076.956900000005</v>
      </c>
    </row>
    <row r="57" spans="2:8" x14ac:dyDescent="0.3">
      <c r="B57" s="15" t="s">
        <v>15</v>
      </c>
      <c r="C57" s="13">
        <v>33886.489599999994</v>
      </c>
      <c r="D57" s="13">
        <v>17171.124299999996</v>
      </c>
      <c r="E57" s="13">
        <v>20205.771999999997</v>
      </c>
      <c r="F57" s="13">
        <v>20017.246000000003</v>
      </c>
      <c r="G57" s="13">
        <v>29553.428300000007</v>
      </c>
      <c r="H57" s="13">
        <v>120834.06020000001</v>
      </c>
    </row>
    <row r="58" spans="2:8" x14ac:dyDescent="0.3">
      <c r="B58" s="15" t="s">
        <v>28</v>
      </c>
      <c r="C58" s="13">
        <v>124454.44959999999</v>
      </c>
      <c r="D58" s="13">
        <v>108456.0724</v>
      </c>
      <c r="E58" s="13">
        <v>93628.553199999995</v>
      </c>
      <c r="F58" s="13">
        <v>101701.31869999999</v>
      </c>
      <c r="G58" s="13">
        <v>112189.22470000002</v>
      </c>
      <c r="H58" s="13">
        <v>540429.61859999993</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136C-89E7-4144-A154-9CD06D62E17F}">
  <dimension ref="A3:D7"/>
  <sheetViews>
    <sheetView workbookViewId="0">
      <selection activeCell="C5" sqref="C5"/>
    </sheetView>
  </sheetViews>
  <sheetFormatPr defaultRowHeight="14.4" x14ac:dyDescent="0.3"/>
  <cols>
    <col min="1" max="1" width="12.44140625" bestFit="1" customWidth="1"/>
    <col min="2" max="2" width="19" bestFit="1" customWidth="1"/>
    <col min="3" max="3" width="14.77734375" bestFit="1" customWidth="1"/>
    <col min="4" max="4" width="15.88671875" bestFit="1" customWidth="1"/>
  </cols>
  <sheetData>
    <row r="3" spans="1:4" x14ac:dyDescent="0.3">
      <c r="A3" s="14" t="s">
        <v>27</v>
      </c>
      <c r="B3" t="s">
        <v>53</v>
      </c>
      <c r="C3" t="s">
        <v>30</v>
      </c>
      <c r="D3" t="s">
        <v>29</v>
      </c>
    </row>
    <row r="4" spans="1:4" x14ac:dyDescent="0.3">
      <c r="A4" s="15" t="s">
        <v>46</v>
      </c>
      <c r="B4" s="38">
        <v>54157.927099999994</v>
      </c>
      <c r="C4" s="38">
        <v>172</v>
      </c>
      <c r="D4" s="13">
        <v>166407.78289999987</v>
      </c>
    </row>
    <row r="5" spans="1:4" x14ac:dyDescent="0.3">
      <c r="A5" s="15" t="s">
        <v>47</v>
      </c>
      <c r="B5" s="38">
        <v>8919.6687999999976</v>
      </c>
      <c r="C5" s="38">
        <v>160</v>
      </c>
      <c r="D5" s="13">
        <v>185429.82120000006</v>
      </c>
    </row>
    <row r="6" spans="1:4" x14ac:dyDescent="0.3">
      <c r="A6" s="15" t="s">
        <v>48</v>
      </c>
      <c r="B6" s="38">
        <v>31208.515499999994</v>
      </c>
      <c r="C6" s="38">
        <v>168</v>
      </c>
      <c r="D6" s="13">
        <v>188592.01449999999</v>
      </c>
    </row>
    <row r="7" spans="1:4" x14ac:dyDescent="0.3">
      <c r="A7" s="15" t="s">
        <v>28</v>
      </c>
      <c r="B7" s="38">
        <v>94286.111400000023</v>
      </c>
      <c r="C7" s="38">
        <v>500</v>
      </c>
      <c r="D7" s="13">
        <v>540429.61859999981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3869-9D2C-4D67-8DAA-78166E744A85}">
  <dimension ref="A1:I501"/>
  <sheetViews>
    <sheetView workbookViewId="0">
      <selection activeCell="K7" sqref="K7"/>
    </sheetView>
  </sheetViews>
  <sheetFormatPr defaultRowHeight="14.4" x14ac:dyDescent="0.3"/>
  <cols>
    <col min="2" max="2" width="10.33203125" bestFit="1" customWidth="1"/>
    <col min="4" max="4" width="15" bestFit="1" customWidth="1"/>
    <col min="7" max="7" width="8.33203125" bestFit="1" customWidth="1"/>
    <col min="8" max="8" width="6.88671875" bestFit="1" customWidth="1"/>
    <col min="9" max="9" width="12.33203125" bestFit="1" customWidth="1"/>
  </cols>
  <sheetData>
    <row r="1" spans="1:9" x14ac:dyDescent="0.3">
      <c r="A1" s="2" t="s">
        <v>0</v>
      </c>
      <c r="B1" s="3" t="s">
        <v>1</v>
      </c>
      <c r="C1" s="3" t="s">
        <v>2</v>
      </c>
      <c r="D1" s="3" t="s">
        <v>3</v>
      </c>
      <c r="E1" s="3" t="s">
        <v>4</v>
      </c>
      <c r="F1" s="3" t="s">
        <v>5</v>
      </c>
      <c r="G1" s="3" t="s">
        <v>6</v>
      </c>
      <c r="H1" s="3" t="s">
        <v>7</v>
      </c>
      <c r="I1" s="4" t="s">
        <v>8</v>
      </c>
    </row>
    <row r="2" spans="1:9" x14ac:dyDescent="0.3">
      <c r="A2" s="5">
        <v>10001</v>
      </c>
      <c r="B2" s="9">
        <v>44562</v>
      </c>
      <c r="C2" s="6">
        <v>2052</v>
      </c>
      <c r="D2" s="6" t="s">
        <v>9</v>
      </c>
      <c r="E2" s="6">
        <v>9</v>
      </c>
      <c r="F2" s="6">
        <v>495.78</v>
      </c>
      <c r="G2" s="6">
        <v>0.04</v>
      </c>
      <c r="H2" s="6" t="s">
        <v>10</v>
      </c>
      <c r="I2" s="10" t="s">
        <v>11</v>
      </c>
    </row>
    <row r="3" spans="1:9" x14ac:dyDescent="0.3">
      <c r="A3" s="7">
        <v>10002</v>
      </c>
      <c r="B3" s="11">
        <v>44563</v>
      </c>
      <c r="C3" s="8">
        <v>2093</v>
      </c>
      <c r="D3" s="8" t="s">
        <v>12</v>
      </c>
      <c r="E3" s="8">
        <v>8</v>
      </c>
      <c r="F3" s="8">
        <v>35.450000000000003</v>
      </c>
      <c r="G3" s="8">
        <v>0.28999999999999998</v>
      </c>
      <c r="H3" s="8" t="s">
        <v>13</v>
      </c>
      <c r="I3" s="12" t="s">
        <v>11</v>
      </c>
    </row>
    <row r="4" spans="1:9" x14ac:dyDescent="0.3">
      <c r="A4" s="5">
        <v>10003</v>
      </c>
      <c r="B4" s="9">
        <v>44564</v>
      </c>
      <c r="C4" s="6">
        <v>2015</v>
      </c>
      <c r="D4" s="6" t="s">
        <v>14</v>
      </c>
      <c r="E4" s="6">
        <v>6</v>
      </c>
      <c r="F4" s="6">
        <v>442.04</v>
      </c>
      <c r="G4" s="6">
        <v>0.01</v>
      </c>
      <c r="H4" s="6" t="s">
        <v>15</v>
      </c>
      <c r="I4" s="10" t="s">
        <v>11</v>
      </c>
    </row>
    <row r="5" spans="1:9" x14ac:dyDescent="0.3">
      <c r="A5" s="7">
        <v>10004</v>
      </c>
      <c r="B5" s="11">
        <v>44565</v>
      </c>
      <c r="C5" s="8">
        <v>2072</v>
      </c>
      <c r="D5" s="8" t="s">
        <v>16</v>
      </c>
      <c r="E5" s="8">
        <v>7</v>
      </c>
      <c r="F5" s="8">
        <v>260.45999999999998</v>
      </c>
      <c r="G5" s="8">
        <v>0.22</v>
      </c>
      <c r="H5" s="8" t="s">
        <v>17</v>
      </c>
      <c r="I5" s="12" t="s">
        <v>18</v>
      </c>
    </row>
    <row r="6" spans="1:9" x14ac:dyDescent="0.3">
      <c r="A6" s="5">
        <v>10005</v>
      </c>
      <c r="B6" s="9">
        <v>44566</v>
      </c>
      <c r="C6" s="6">
        <v>2061</v>
      </c>
      <c r="D6" s="6" t="s">
        <v>19</v>
      </c>
      <c r="E6" s="6">
        <v>3</v>
      </c>
      <c r="F6" s="6">
        <v>453.72</v>
      </c>
      <c r="G6" s="6">
        <v>0.23</v>
      </c>
      <c r="H6" s="6" t="s">
        <v>13</v>
      </c>
      <c r="I6" s="10" t="s">
        <v>18</v>
      </c>
    </row>
    <row r="7" spans="1:9" x14ac:dyDescent="0.3">
      <c r="A7" s="7">
        <v>10006</v>
      </c>
      <c r="B7" s="11">
        <v>44567</v>
      </c>
      <c r="C7" s="8">
        <v>2021</v>
      </c>
      <c r="D7" s="8" t="s">
        <v>16</v>
      </c>
      <c r="E7" s="8">
        <v>1</v>
      </c>
      <c r="F7" s="8">
        <v>287.8</v>
      </c>
      <c r="G7" s="8">
        <v>7.0000000000000007E-2</v>
      </c>
      <c r="H7" s="8" t="s">
        <v>15</v>
      </c>
      <c r="I7" s="12" t="s">
        <v>11</v>
      </c>
    </row>
    <row r="8" spans="1:9" x14ac:dyDescent="0.3">
      <c r="A8" s="5">
        <v>10007</v>
      </c>
      <c r="B8" s="9">
        <v>44568</v>
      </c>
      <c r="C8" s="6">
        <v>2083</v>
      </c>
      <c r="D8" s="6" t="s">
        <v>9</v>
      </c>
      <c r="E8" s="6">
        <v>5</v>
      </c>
      <c r="F8" s="6">
        <v>332.75</v>
      </c>
      <c r="G8" s="6">
        <v>0.2</v>
      </c>
      <c r="H8" s="6" t="s">
        <v>13</v>
      </c>
      <c r="I8" s="10" t="s">
        <v>18</v>
      </c>
    </row>
    <row r="9" spans="1:9" x14ac:dyDescent="0.3">
      <c r="A9" s="7">
        <v>10008</v>
      </c>
      <c r="B9" s="11">
        <v>44569</v>
      </c>
      <c r="C9" s="8">
        <v>2087</v>
      </c>
      <c r="D9" s="8" t="s">
        <v>16</v>
      </c>
      <c r="E9" s="8">
        <v>2</v>
      </c>
      <c r="F9" s="8">
        <v>274.17</v>
      </c>
      <c r="G9" s="8">
        <v>0.03</v>
      </c>
      <c r="H9" s="8" t="s">
        <v>13</v>
      </c>
      <c r="I9" s="12" t="s">
        <v>18</v>
      </c>
    </row>
    <row r="10" spans="1:9" x14ac:dyDescent="0.3">
      <c r="A10" s="5">
        <v>10009</v>
      </c>
      <c r="B10" s="9">
        <v>44570</v>
      </c>
      <c r="C10" s="6">
        <v>2075</v>
      </c>
      <c r="D10" s="6" t="s">
        <v>19</v>
      </c>
      <c r="E10" s="6">
        <v>5</v>
      </c>
      <c r="F10" s="6">
        <v>432.92</v>
      </c>
      <c r="G10" s="6">
        <v>0.08</v>
      </c>
      <c r="H10" s="6" t="s">
        <v>10</v>
      </c>
      <c r="I10" s="10" t="s">
        <v>11</v>
      </c>
    </row>
    <row r="11" spans="1:9" x14ac:dyDescent="0.3">
      <c r="A11" s="7">
        <v>10010</v>
      </c>
      <c r="B11" s="11">
        <v>44571</v>
      </c>
      <c r="C11" s="8">
        <v>2075</v>
      </c>
      <c r="D11" s="8" t="s">
        <v>9</v>
      </c>
      <c r="E11" s="8">
        <v>8</v>
      </c>
      <c r="F11" s="8">
        <v>368.29</v>
      </c>
      <c r="G11" s="8">
        <v>0.24</v>
      </c>
      <c r="H11" s="8" t="s">
        <v>15</v>
      </c>
      <c r="I11" s="12" t="s">
        <v>11</v>
      </c>
    </row>
    <row r="12" spans="1:9" x14ac:dyDescent="0.3">
      <c r="A12" s="5">
        <v>10011</v>
      </c>
      <c r="B12" s="9">
        <v>44572</v>
      </c>
      <c r="C12" s="6">
        <v>2088</v>
      </c>
      <c r="D12" s="6" t="s">
        <v>16</v>
      </c>
      <c r="E12" s="6">
        <v>9</v>
      </c>
      <c r="F12" s="6">
        <v>263.02</v>
      </c>
      <c r="G12" s="6">
        <v>0.26</v>
      </c>
      <c r="H12" s="6" t="s">
        <v>17</v>
      </c>
      <c r="I12" s="10" t="s">
        <v>18</v>
      </c>
    </row>
    <row r="13" spans="1:9" x14ac:dyDescent="0.3">
      <c r="A13" s="7">
        <v>10012</v>
      </c>
      <c r="B13" s="11">
        <v>44573</v>
      </c>
      <c r="C13" s="8">
        <v>2100</v>
      </c>
      <c r="D13" s="8" t="s">
        <v>9</v>
      </c>
      <c r="E13" s="8">
        <v>2</v>
      </c>
      <c r="F13" s="8">
        <v>434.74</v>
      </c>
      <c r="G13" s="8">
        <v>0.18</v>
      </c>
      <c r="H13" s="8" t="s">
        <v>17</v>
      </c>
      <c r="I13" s="12" t="s">
        <v>18</v>
      </c>
    </row>
    <row r="14" spans="1:9" x14ac:dyDescent="0.3">
      <c r="A14" s="5">
        <v>10013</v>
      </c>
      <c r="B14" s="9">
        <v>44574</v>
      </c>
      <c r="C14" s="6">
        <v>2024</v>
      </c>
      <c r="D14" s="6" t="s">
        <v>12</v>
      </c>
      <c r="E14" s="6">
        <v>3</v>
      </c>
      <c r="F14" s="6">
        <v>126.42</v>
      </c>
      <c r="G14" s="6">
        <v>0.15</v>
      </c>
      <c r="H14" s="6" t="s">
        <v>15</v>
      </c>
      <c r="I14" s="10" t="s">
        <v>11</v>
      </c>
    </row>
    <row r="15" spans="1:9" x14ac:dyDescent="0.3">
      <c r="A15" s="7">
        <v>10014</v>
      </c>
      <c r="B15" s="11">
        <v>44575</v>
      </c>
      <c r="C15" s="8">
        <v>2003</v>
      </c>
      <c r="D15" s="8" t="s">
        <v>12</v>
      </c>
      <c r="E15" s="8">
        <v>3</v>
      </c>
      <c r="F15" s="8">
        <v>82.88</v>
      </c>
      <c r="G15" s="8">
        <v>0.05</v>
      </c>
      <c r="H15" s="8" t="s">
        <v>10</v>
      </c>
      <c r="I15" s="12" t="s">
        <v>18</v>
      </c>
    </row>
    <row r="16" spans="1:9" x14ac:dyDescent="0.3">
      <c r="A16" s="5">
        <v>10015</v>
      </c>
      <c r="B16" s="9">
        <v>44576</v>
      </c>
      <c r="C16" s="6">
        <v>2022</v>
      </c>
      <c r="D16" s="6" t="s">
        <v>16</v>
      </c>
      <c r="E16" s="6">
        <v>1</v>
      </c>
      <c r="F16" s="6">
        <v>84.4</v>
      </c>
      <c r="G16" s="6">
        <v>0.02</v>
      </c>
      <c r="H16" s="6" t="s">
        <v>20</v>
      </c>
      <c r="I16" s="10" t="s">
        <v>18</v>
      </c>
    </row>
    <row r="17" spans="1:9" x14ac:dyDescent="0.3">
      <c r="A17" s="7">
        <v>10016</v>
      </c>
      <c r="B17" s="11">
        <v>44577</v>
      </c>
      <c r="C17" s="8">
        <v>2053</v>
      </c>
      <c r="D17" s="8" t="s">
        <v>9</v>
      </c>
      <c r="E17" s="8">
        <v>8</v>
      </c>
      <c r="F17" s="8">
        <v>170.33</v>
      </c>
      <c r="G17" s="8">
        <v>0.04</v>
      </c>
      <c r="H17" s="8" t="s">
        <v>13</v>
      </c>
      <c r="I17" s="12" t="s">
        <v>11</v>
      </c>
    </row>
    <row r="18" spans="1:9" x14ac:dyDescent="0.3">
      <c r="A18" s="5">
        <v>10017</v>
      </c>
      <c r="B18" s="9">
        <v>44578</v>
      </c>
      <c r="C18" s="6">
        <v>2002</v>
      </c>
      <c r="D18" s="6" t="s">
        <v>19</v>
      </c>
      <c r="E18" s="6">
        <v>6</v>
      </c>
      <c r="F18" s="6">
        <v>123.15</v>
      </c>
      <c r="G18" s="6">
        <v>7.0000000000000007E-2</v>
      </c>
      <c r="H18" s="6" t="s">
        <v>10</v>
      </c>
      <c r="I18" s="10" t="s">
        <v>11</v>
      </c>
    </row>
    <row r="19" spans="1:9" x14ac:dyDescent="0.3">
      <c r="A19" s="7">
        <v>10018</v>
      </c>
      <c r="B19" s="11">
        <v>44579</v>
      </c>
      <c r="C19" s="8">
        <v>2088</v>
      </c>
      <c r="D19" s="8" t="s">
        <v>16</v>
      </c>
      <c r="E19" s="8">
        <v>8</v>
      </c>
      <c r="F19" s="8">
        <v>465.39</v>
      </c>
      <c r="G19" s="8">
        <v>0.1</v>
      </c>
      <c r="H19" s="8" t="s">
        <v>15</v>
      </c>
      <c r="I19" s="12" t="s">
        <v>18</v>
      </c>
    </row>
    <row r="20" spans="1:9" x14ac:dyDescent="0.3">
      <c r="A20" s="5">
        <v>10019</v>
      </c>
      <c r="B20" s="9">
        <v>44580</v>
      </c>
      <c r="C20" s="6">
        <v>2030</v>
      </c>
      <c r="D20" s="6" t="s">
        <v>12</v>
      </c>
      <c r="E20" s="6">
        <v>9</v>
      </c>
      <c r="F20" s="6">
        <v>57.39</v>
      </c>
      <c r="G20" s="6">
        <v>0.11</v>
      </c>
      <c r="H20" s="6" t="s">
        <v>13</v>
      </c>
      <c r="I20" s="10" t="s">
        <v>18</v>
      </c>
    </row>
    <row r="21" spans="1:9" x14ac:dyDescent="0.3">
      <c r="A21" s="7">
        <v>10020</v>
      </c>
      <c r="B21" s="11">
        <v>44581</v>
      </c>
      <c r="C21" s="8">
        <v>2038</v>
      </c>
      <c r="D21" s="8" t="s">
        <v>12</v>
      </c>
      <c r="E21" s="8">
        <v>5</v>
      </c>
      <c r="F21" s="8">
        <v>351</v>
      </c>
      <c r="G21" s="8">
        <v>0.1</v>
      </c>
      <c r="H21" s="8" t="s">
        <v>17</v>
      </c>
      <c r="I21" s="12" t="s">
        <v>18</v>
      </c>
    </row>
    <row r="22" spans="1:9" x14ac:dyDescent="0.3">
      <c r="A22" s="5">
        <v>10021</v>
      </c>
      <c r="B22" s="9">
        <v>44582</v>
      </c>
      <c r="C22" s="6">
        <v>2002</v>
      </c>
      <c r="D22" s="6" t="s">
        <v>16</v>
      </c>
      <c r="E22" s="6">
        <v>3</v>
      </c>
      <c r="F22" s="6">
        <v>98.66</v>
      </c>
      <c r="G22" s="6">
        <v>7.0000000000000007E-2</v>
      </c>
      <c r="H22" s="6" t="s">
        <v>20</v>
      </c>
      <c r="I22" s="10" t="s">
        <v>11</v>
      </c>
    </row>
    <row r="23" spans="1:9" x14ac:dyDescent="0.3">
      <c r="A23" s="7">
        <v>10022</v>
      </c>
      <c r="B23" s="11">
        <v>44583</v>
      </c>
      <c r="C23" s="8">
        <v>2064</v>
      </c>
      <c r="D23" s="8" t="s">
        <v>9</v>
      </c>
      <c r="E23" s="8">
        <v>5</v>
      </c>
      <c r="F23" s="8">
        <v>441.41</v>
      </c>
      <c r="G23" s="8">
        <v>0.15</v>
      </c>
      <c r="H23" s="8" t="s">
        <v>17</v>
      </c>
      <c r="I23" s="12" t="s">
        <v>18</v>
      </c>
    </row>
    <row r="24" spans="1:9" x14ac:dyDescent="0.3">
      <c r="A24" s="5">
        <v>10023</v>
      </c>
      <c r="B24" s="9">
        <v>44584</v>
      </c>
      <c r="C24" s="6">
        <v>2060</v>
      </c>
      <c r="D24" s="6" t="s">
        <v>12</v>
      </c>
      <c r="E24" s="6">
        <v>5</v>
      </c>
      <c r="F24" s="6">
        <v>480.85</v>
      </c>
      <c r="G24" s="6">
        <v>0.25</v>
      </c>
      <c r="H24" s="6" t="s">
        <v>15</v>
      </c>
      <c r="I24" s="10" t="s">
        <v>18</v>
      </c>
    </row>
    <row r="25" spans="1:9" x14ac:dyDescent="0.3">
      <c r="A25" s="7">
        <v>10024</v>
      </c>
      <c r="B25" s="11">
        <v>44585</v>
      </c>
      <c r="C25" s="8">
        <v>2021</v>
      </c>
      <c r="D25" s="8" t="s">
        <v>9</v>
      </c>
      <c r="E25" s="8">
        <v>5</v>
      </c>
      <c r="F25" s="8">
        <v>235.41</v>
      </c>
      <c r="G25" s="8">
        <v>0.08</v>
      </c>
      <c r="H25" s="8" t="s">
        <v>13</v>
      </c>
      <c r="I25" s="12" t="s">
        <v>11</v>
      </c>
    </row>
    <row r="26" spans="1:9" x14ac:dyDescent="0.3">
      <c r="A26" s="5">
        <v>10025</v>
      </c>
      <c r="B26" s="9">
        <v>44586</v>
      </c>
      <c r="C26" s="6">
        <v>2033</v>
      </c>
      <c r="D26" s="6" t="s">
        <v>12</v>
      </c>
      <c r="E26" s="6">
        <v>3</v>
      </c>
      <c r="F26" s="6">
        <v>440.14</v>
      </c>
      <c r="G26" s="6">
        <v>0.28000000000000003</v>
      </c>
      <c r="H26" s="6" t="s">
        <v>15</v>
      </c>
      <c r="I26" s="10" t="s">
        <v>11</v>
      </c>
    </row>
    <row r="27" spans="1:9" x14ac:dyDescent="0.3">
      <c r="A27" s="7">
        <v>10026</v>
      </c>
      <c r="B27" s="11">
        <v>44587</v>
      </c>
      <c r="C27" s="8">
        <v>2076</v>
      </c>
      <c r="D27" s="8" t="s">
        <v>12</v>
      </c>
      <c r="E27" s="8">
        <v>4</v>
      </c>
      <c r="F27" s="8">
        <v>7.55</v>
      </c>
      <c r="G27" s="8">
        <v>0.26</v>
      </c>
      <c r="H27" s="8" t="s">
        <v>13</v>
      </c>
      <c r="I27" s="12" t="s">
        <v>18</v>
      </c>
    </row>
    <row r="28" spans="1:9" x14ac:dyDescent="0.3">
      <c r="A28" s="5">
        <v>10027</v>
      </c>
      <c r="B28" s="9">
        <v>44588</v>
      </c>
      <c r="C28" s="6">
        <v>2058</v>
      </c>
      <c r="D28" s="6" t="s">
        <v>14</v>
      </c>
      <c r="E28" s="6">
        <v>9</v>
      </c>
      <c r="F28" s="6">
        <v>410.87</v>
      </c>
      <c r="G28" s="6">
        <v>0.05</v>
      </c>
      <c r="H28" s="6" t="s">
        <v>10</v>
      </c>
      <c r="I28" s="10" t="s">
        <v>11</v>
      </c>
    </row>
    <row r="29" spans="1:9" x14ac:dyDescent="0.3">
      <c r="A29" s="7">
        <v>10028</v>
      </c>
      <c r="B29" s="11">
        <v>44589</v>
      </c>
      <c r="C29" s="8">
        <v>2022</v>
      </c>
      <c r="D29" s="8" t="s">
        <v>12</v>
      </c>
      <c r="E29" s="8">
        <v>9</v>
      </c>
      <c r="F29" s="8">
        <v>118.17</v>
      </c>
      <c r="G29" s="8">
        <v>0.24</v>
      </c>
      <c r="H29" s="8" t="s">
        <v>20</v>
      </c>
      <c r="I29" s="12" t="s">
        <v>11</v>
      </c>
    </row>
    <row r="30" spans="1:9" x14ac:dyDescent="0.3">
      <c r="A30" s="5">
        <v>10029</v>
      </c>
      <c r="B30" s="9">
        <v>44590</v>
      </c>
      <c r="C30" s="6">
        <v>2089</v>
      </c>
      <c r="D30" s="6" t="s">
        <v>19</v>
      </c>
      <c r="E30" s="6">
        <v>2</v>
      </c>
      <c r="F30" s="6">
        <v>454.81</v>
      </c>
      <c r="G30" s="6">
        <v>0.17</v>
      </c>
      <c r="H30" s="6" t="s">
        <v>10</v>
      </c>
      <c r="I30" s="10" t="s">
        <v>18</v>
      </c>
    </row>
    <row r="31" spans="1:9" x14ac:dyDescent="0.3">
      <c r="A31" s="7">
        <v>10030</v>
      </c>
      <c r="B31" s="11">
        <v>44591</v>
      </c>
      <c r="C31" s="8">
        <v>2049</v>
      </c>
      <c r="D31" s="8" t="s">
        <v>16</v>
      </c>
      <c r="E31" s="8">
        <v>8</v>
      </c>
      <c r="F31" s="8">
        <v>5.55</v>
      </c>
      <c r="G31" s="8">
        <v>0.17</v>
      </c>
      <c r="H31" s="8" t="s">
        <v>10</v>
      </c>
      <c r="I31" s="12" t="s">
        <v>11</v>
      </c>
    </row>
    <row r="32" spans="1:9" x14ac:dyDescent="0.3">
      <c r="A32" s="5">
        <v>10031</v>
      </c>
      <c r="B32" s="9">
        <v>44592</v>
      </c>
      <c r="C32" s="6">
        <v>2091</v>
      </c>
      <c r="D32" s="6" t="s">
        <v>16</v>
      </c>
      <c r="E32" s="6">
        <v>8</v>
      </c>
      <c r="F32" s="6">
        <v>280.31</v>
      </c>
      <c r="G32" s="6">
        <v>0.12</v>
      </c>
      <c r="H32" s="6" t="s">
        <v>15</v>
      </c>
      <c r="I32" s="10" t="s">
        <v>11</v>
      </c>
    </row>
    <row r="33" spans="1:9" x14ac:dyDescent="0.3">
      <c r="A33" s="7">
        <v>10032</v>
      </c>
      <c r="B33" s="11">
        <v>44593</v>
      </c>
      <c r="C33" s="8">
        <v>2059</v>
      </c>
      <c r="D33" s="8" t="s">
        <v>9</v>
      </c>
      <c r="E33" s="8">
        <v>7</v>
      </c>
      <c r="F33" s="8">
        <v>379.53</v>
      </c>
      <c r="G33" s="8">
        <v>0.15</v>
      </c>
      <c r="H33" s="8" t="s">
        <v>20</v>
      </c>
      <c r="I33" s="12" t="s">
        <v>18</v>
      </c>
    </row>
    <row r="34" spans="1:9" x14ac:dyDescent="0.3">
      <c r="A34" s="5">
        <v>10033</v>
      </c>
      <c r="B34" s="9">
        <v>44594</v>
      </c>
      <c r="C34" s="6">
        <v>2042</v>
      </c>
      <c r="D34" s="6" t="s">
        <v>12</v>
      </c>
      <c r="E34" s="6">
        <v>8</v>
      </c>
      <c r="F34" s="6">
        <v>133.05000000000001</v>
      </c>
      <c r="G34" s="6">
        <v>0.12</v>
      </c>
      <c r="H34" s="6" t="s">
        <v>13</v>
      </c>
      <c r="I34" s="10" t="s">
        <v>11</v>
      </c>
    </row>
    <row r="35" spans="1:9" x14ac:dyDescent="0.3">
      <c r="A35" s="7">
        <v>10034</v>
      </c>
      <c r="B35" s="11">
        <v>44595</v>
      </c>
      <c r="C35" s="8">
        <v>2092</v>
      </c>
      <c r="D35" s="8" t="s">
        <v>19</v>
      </c>
      <c r="E35" s="8">
        <v>3</v>
      </c>
      <c r="F35" s="8">
        <v>100.6</v>
      </c>
      <c r="G35" s="8">
        <v>0.16</v>
      </c>
      <c r="H35" s="8" t="s">
        <v>13</v>
      </c>
      <c r="I35" s="12" t="s">
        <v>18</v>
      </c>
    </row>
    <row r="36" spans="1:9" x14ac:dyDescent="0.3">
      <c r="A36" s="5">
        <v>10035</v>
      </c>
      <c r="B36" s="9">
        <v>44596</v>
      </c>
      <c r="C36" s="6">
        <v>2060</v>
      </c>
      <c r="D36" s="6" t="s">
        <v>9</v>
      </c>
      <c r="E36" s="6">
        <v>6</v>
      </c>
      <c r="F36" s="6">
        <v>46.63</v>
      </c>
      <c r="G36" s="6">
        <v>0.19</v>
      </c>
      <c r="H36" s="6" t="s">
        <v>17</v>
      </c>
      <c r="I36" s="10" t="s">
        <v>18</v>
      </c>
    </row>
    <row r="37" spans="1:9" x14ac:dyDescent="0.3">
      <c r="A37" s="7">
        <v>10036</v>
      </c>
      <c r="B37" s="11">
        <v>44597</v>
      </c>
      <c r="C37" s="8">
        <v>2080</v>
      </c>
      <c r="D37" s="8" t="s">
        <v>14</v>
      </c>
      <c r="E37" s="8">
        <v>1</v>
      </c>
      <c r="F37" s="8">
        <v>166.58</v>
      </c>
      <c r="G37" s="8">
        <v>0.2</v>
      </c>
      <c r="H37" s="8" t="s">
        <v>13</v>
      </c>
      <c r="I37" s="12" t="s">
        <v>11</v>
      </c>
    </row>
    <row r="38" spans="1:9" x14ac:dyDescent="0.3">
      <c r="A38" s="5">
        <v>10037</v>
      </c>
      <c r="B38" s="9">
        <v>44598</v>
      </c>
      <c r="C38" s="6">
        <v>2015</v>
      </c>
      <c r="D38" s="6" t="s">
        <v>9</v>
      </c>
      <c r="E38" s="6">
        <v>7</v>
      </c>
      <c r="F38" s="6">
        <v>282.12</v>
      </c>
      <c r="G38" s="6">
        <v>0.16</v>
      </c>
      <c r="H38" s="6" t="s">
        <v>15</v>
      </c>
      <c r="I38" s="10" t="s">
        <v>11</v>
      </c>
    </row>
    <row r="39" spans="1:9" x14ac:dyDescent="0.3">
      <c r="A39" s="7">
        <v>10038</v>
      </c>
      <c r="B39" s="11">
        <v>44599</v>
      </c>
      <c r="C39" s="8">
        <v>2062</v>
      </c>
      <c r="D39" s="8" t="s">
        <v>9</v>
      </c>
      <c r="E39" s="8">
        <v>1</v>
      </c>
      <c r="F39" s="8">
        <v>62.34</v>
      </c>
      <c r="G39" s="8">
        <v>0.22</v>
      </c>
      <c r="H39" s="8" t="s">
        <v>10</v>
      </c>
      <c r="I39" s="12" t="s">
        <v>11</v>
      </c>
    </row>
    <row r="40" spans="1:9" x14ac:dyDescent="0.3">
      <c r="A40" s="5">
        <v>10039</v>
      </c>
      <c r="B40" s="9">
        <v>44600</v>
      </c>
      <c r="C40" s="6">
        <v>2062</v>
      </c>
      <c r="D40" s="6" t="s">
        <v>12</v>
      </c>
      <c r="E40" s="6">
        <v>9</v>
      </c>
      <c r="F40" s="6">
        <v>191.46</v>
      </c>
      <c r="G40" s="6">
        <v>0.04</v>
      </c>
      <c r="H40" s="6" t="s">
        <v>10</v>
      </c>
      <c r="I40" s="10" t="s">
        <v>18</v>
      </c>
    </row>
    <row r="41" spans="1:9" x14ac:dyDescent="0.3">
      <c r="A41" s="7">
        <v>10040</v>
      </c>
      <c r="B41" s="11">
        <v>44601</v>
      </c>
      <c r="C41" s="8">
        <v>2047</v>
      </c>
      <c r="D41" s="8" t="s">
        <v>14</v>
      </c>
      <c r="E41" s="8">
        <v>1</v>
      </c>
      <c r="F41" s="8">
        <v>9.49</v>
      </c>
      <c r="G41" s="8">
        <v>0.06</v>
      </c>
      <c r="H41" s="8" t="s">
        <v>10</v>
      </c>
      <c r="I41" s="12" t="s">
        <v>11</v>
      </c>
    </row>
    <row r="42" spans="1:9" x14ac:dyDescent="0.3">
      <c r="A42" s="5">
        <v>10041</v>
      </c>
      <c r="B42" s="9">
        <v>44602</v>
      </c>
      <c r="C42" s="6">
        <v>2062</v>
      </c>
      <c r="D42" s="6" t="s">
        <v>9</v>
      </c>
      <c r="E42" s="6">
        <v>1</v>
      </c>
      <c r="F42" s="6">
        <v>410.25</v>
      </c>
      <c r="G42" s="6">
        <v>0.25</v>
      </c>
      <c r="H42" s="6" t="s">
        <v>20</v>
      </c>
      <c r="I42" s="10" t="s">
        <v>18</v>
      </c>
    </row>
    <row r="43" spans="1:9" x14ac:dyDescent="0.3">
      <c r="A43" s="7">
        <v>10042</v>
      </c>
      <c r="B43" s="11">
        <v>44603</v>
      </c>
      <c r="C43" s="8">
        <v>2051</v>
      </c>
      <c r="D43" s="8" t="s">
        <v>19</v>
      </c>
      <c r="E43" s="8">
        <v>7</v>
      </c>
      <c r="F43" s="8">
        <v>68.58</v>
      </c>
      <c r="G43" s="8">
        <v>0.1</v>
      </c>
      <c r="H43" s="8" t="s">
        <v>13</v>
      </c>
      <c r="I43" s="12" t="s">
        <v>11</v>
      </c>
    </row>
    <row r="44" spans="1:9" x14ac:dyDescent="0.3">
      <c r="A44" s="5">
        <v>10043</v>
      </c>
      <c r="B44" s="9">
        <v>44604</v>
      </c>
      <c r="C44" s="6">
        <v>2055</v>
      </c>
      <c r="D44" s="6" t="s">
        <v>19</v>
      </c>
      <c r="E44" s="6">
        <v>2</v>
      </c>
      <c r="F44" s="6">
        <v>145.25</v>
      </c>
      <c r="G44" s="6">
        <v>0.01</v>
      </c>
      <c r="H44" s="6" t="s">
        <v>15</v>
      </c>
      <c r="I44" s="10" t="s">
        <v>11</v>
      </c>
    </row>
    <row r="45" spans="1:9" x14ac:dyDescent="0.3">
      <c r="A45" s="7">
        <v>10044</v>
      </c>
      <c r="B45" s="11">
        <v>44605</v>
      </c>
      <c r="C45" s="8">
        <v>2064</v>
      </c>
      <c r="D45" s="8" t="s">
        <v>16</v>
      </c>
      <c r="E45" s="8">
        <v>5</v>
      </c>
      <c r="F45" s="8">
        <v>14.12</v>
      </c>
      <c r="G45" s="8">
        <v>0.05</v>
      </c>
      <c r="H45" s="8" t="s">
        <v>20</v>
      </c>
      <c r="I45" s="12" t="s">
        <v>11</v>
      </c>
    </row>
    <row r="46" spans="1:9" x14ac:dyDescent="0.3">
      <c r="A46" s="5">
        <v>10045</v>
      </c>
      <c r="B46" s="9">
        <v>44606</v>
      </c>
      <c r="C46" s="6">
        <v>2003</v>
      </c>
      <c r="D46" s="6" t="s">
        <v>14</v>
      </c>
      <c r="E46" s="6">
        <v>8</v>
      </c>
      <c r="F46" s="6">
        <v>218.96</v>
      </c>
      <c r="G46" s="6">
        <v>7.0000000000000007E-2</v>
      </c>
      <c r="H46" s="6" t="s">
        <v>17</v>
      </c>
      <c r="I46" s="10" t="s">
        <v>18</v>
      </c>
    </row>
    <row r="47" spans="1:9" x14ac:dyDescent="0.3">
      <c r="A47" s="7">
        <v>10046</v>
      </c>
      <c r="B47" s="11">
        <v>44607</v>
      </c>
      <c r="C47" s="8">
        <v>2051</v>
      </c>
      <c r="D47" s="8" t="s">
        <v>14</v>
      </c>
      <c r="E47" s="8">
        <v>8</v>
      </c>
      <c r="F47" s="8">
        <v>420.86</v>
      </c>
      <c r="G47" s="8">
        <v>0.28999999999999998</v>
      </c>
      <c r="H47" s="8" t="s">
        <v>15</v>
      </c>
      <c r="I47" s="12" t="s">
        <v>11</v>
      </c>
    </row>
    <row r="48" spans="1:9" x14ac:dyDescent="0.3">
      <c r="A48" s="5">
        <v>10047</v>
      </c>
      <c r="B48" s="9">
        <v>44608</v>
      </c>
      <c r="C48" s="6">
        <v>2007</v>
      </c>
      <c r="D48" s="6" t="s">
        <v>16</v>
      </c>
      <c r="E48" s="6">
        <v>3</v>
      </c>
      <c r="F48" s="6">
        <v>199.11</v>
      </c>
      <c r="G48" s="6">
        <v>0.17</v>
      </c>
      <c r="H48" s="6" t="s">
        <v>15</v>
      </c>
      <c r="I48" s="10" t="s">
        <v>11</v>
      </c>
    </row>
    <row r="49" spans="1:9" x14ac:dyDescent="0.3">
      <c r="A49" s="7">
        <v>10048</v>
      </c>
      <c r="B49" s="11">
        <v>44609</v>
      </c>
      <c r="C49" s="8">
        <v>2021</v>
      </c>
      <c r="D49" s="8" t="s">
        <v>9</v>
      </c>
      <c r="E49" s="8">
        <v>7</v>
      </c>
      <c r="F49" s="8">
        <v>93.85</v>
      </c>
      <c r="G49" s="8">
        <v>0.28000000000000003</v>
      </c>
      <c r="H49" s="8" t="s">
        <v>15</v>
      </c>
      <c r="I49" s="12" t="s">
        <v>18</v>
      </c>
    </row>
    <row r="50" spans="1:9" x14ac:dyDescent="0.3">
      <c r="A50" s="5">
        <v>10049</v>
      </c>
      <c r="B50" s="9">
        <v>44610</v>
      </c>
      <c r="C50" s="6">
        <v>2073</v>
      </c>
      <c r="D50" s="6" t="s">
        <v>14</v>
      </c>
      <c r="E50" s="6">
        <v>3</v>
      </c>
      <c r="F50" s="6">
        <v>378.08</v>
      </c>
      <c r="G50" s="6">
        <v>0.17</v>
      </c>
      <c r="H50" s="6" t="s">
        <v>10</v>
      </c>
      <c r="I50" s="10" t="s">
        <v>18</v>
      </c>
    </row>
    <row r="51" spans="1:9" x14ac:dyDescent="0.3">
      <c r="A51" s="7">
        <v>10050</v>
      </c>
      <c r="B51" s="11">
        <v>44611</v>
      </c>
      <c r="C51" s="8">
        <v>2039</v>
      </c>
      <c r="D51" s="8" t="s">
        <v>19</v>
      </c>
      <c r="E51" s="8">
        <v>6</v>
      </c>
      <c r="F51" s="8">
        <v>395.46</v>
      </c>
      <c r="G51" s="8">
        <v>0.14000000000000001</v>
      </c>
      <c r="H51" s="8" t="s">
        <v>15</v>
      </c>
      <c r="I51" s="12" t="s">
        <v>11</v>
      </c>
    </row>
    <row r="52" spans="1:9" x14ac:dyDescent="0.3">
      <c r="A52" s="5">
        <v>10051</v>
      </c>
      <c r="B52" s="9">
        <v>44612</v>
      </c>
      <c r="C52" s="6">
        <v>2018</v>
      </c>
      <c r="D52" s="6" t="s">
        <v>19</v>
      </c>
      <c r="E52" s="6">
        <v>6</v>
      </c>
      <c r="F52" s="6">
        <v>91.01</v>
      </c>
      <c r="G52" s="6">
        <v>0.09</v>
      </c>
      <c r="H52" s="6" t="s">
        <v>13</v>
      </c>
      <c r="I52" s="10" t="s">
        <v>11</v>
      </c>
    </row>
    <row r="53" spans="1:9" x14ac:dyDescent="0.3">
      <c r="A53" s="7">
        <v>10052</v>
      </c>
      <c r="B53" s="11">
        <v>44613</v>
      </c>
      <c r="C53" s="8">
        <v>2004</v>
      </c>
      <c r="D53" s="8" t="s">
        <v>12</v>
      </c>
      <c r="E53" s="8">
        <v>3</v>
      </c>
      <c r="F53" s="8">
        <v>386.57</v>
      </c>
      <c r="G53" s="8">
        <v>0.18</v>
      </c>
      <c r="H53" s="8" t="s">
        <v>15</v>
      </c>
      <c r="I53" s="12" t="s">
        <v>11</v>
      </c>
    </row>
    <row r="54" spans="1:9" x14ac:dyDescent="0.3">
      <c r="A54" s="5">
        <v>10053</v>
      </c>
      <c r="B54" s="9">
        <v>44614</v>
      </c>
      <c r="C54" s="6">
        <v>2089</v>
      </c>
      <c r="D54" s="6" t="s">
        <v>14</v>
      </c>
      <c r="E54" s="6">
        <v>7</v>
      </c>
      <c r="F54" s="6">
        <v>473.91</v>
      </c>
      <c r="G54" s="6">
        <v>0.04</v>
      </c>
      <c r="H54" s="6" t="s">
        <v>10</v>
      </c>
      <c r="I54" s="10" t="s">
        <v>18</v>
      </c>
    </row>
    <row r="55" spans="1:9" x14ac:dyDescent="0.3">
      <c r="A55" s="7">
        <v>10054</v>
      </c>
      <c r="B55" s="11">
        <v>44615</v>
      </c>
      <c r="C55" s="8">
        <v>2060</v>
      </c>
      <c r="D55" s="8" t="s">
        <v>9</v>
      </c>
      <c r="E55" s="8">
        <v>3</v>
      </c>
      <c r="F55" s="8">
        <v>87.36</v>
      </c>
      <c r="G55" s="8">
        <v>0.27</v>
      </c>
      <c r="H55" s="8" t="s">
        <v>15</v>
      </c>
      <c r="I55" s="12" t="s">
        <v>18</v>
      </c>
    </row>
    <row r="56" spans="1:9" x14ac:dyDescent="0.3">
      <c r="A56" s="5">
        <v>10055</v>
      </c>
      <c r="B56" s="9">
        <v>44616</v>
      </c>
      <c r="C56" s="6">
        <v>2014</v>
      </c>
      <c r="D56" s="6" t="s">
        <v>16</v>
      </c>
      <c r="E56" s="6">
        <v>8</v>
      </c>
      <c r="F56" s="6">
        <v>386.64</v>
      </c>
      <c r="G56" s="6">
        <v>0.25</v>
      </c>
      <c r="H56" s="6" t="s">
        <v>17</v>
      </c>
      <c r="I56" s="10" t="s">
        <v>18</v>
      </c>
    </row>
    <row r="57" spans="1:9" x14ac:dyDescent="0.3">
      <c r="A57" s="7">
        <v>10056</v>
      </c>
      <c r="B57" s="11">
        <v>44617</v>
      </c>
      <c r="C57" s="8">
        <v>2009</v>
      </c>
      <c r="D57" s="8" t="s">
        <v>16</v>
      </c>
      <c r="E57" s="8">
        <v>4</v>
      </c>
      <c r="F57" s="8">
        <v>355.74</v>
      </c>
      <c r="G57" s="8">
        <v>0.1</v>
      </c>
      <c r="H57" s="8" t="s">
        <v>17</v>
      </c>
      <c r="I57" s="12" t="s">
        <v>18</v>
      </c>
    </row>
    <row r="58" spans="1:9" x14ac:dyDescent="0.3">
      <c r="A58" s="5">
        <v>10057</v>
      </c>
      <c r="B58" s="9">
        <v>44618</v>
      </c>
      <c r="C58" s="6">
        <v>2090</v>
      </c>
      <c r="D58" s="6" t="s">
        <v>9</v>
      </c>
      <c r="E58" s="6">
        <v>1</v>
      </c>
      <c r="F58" s="6">
        <v>239.42</v>
      </c>
      <c r="G58" s="6">
        <v>0.28999999999999998</v>
      </c>
      <c r="H58" s="6" t="s">
        <v>10</v>
      </c>
      <c r="I58" s="10" t="s">
        <v>11</v>
      </c>
    </row>
    <row r="59" spans="1:9" x14ac:dyDescent="0.3">
      <c r="A59" s="7">
        <v>10058</v>
      </c>
      <c r="B59" s="11">
        <v>44619</v>
      </c>
      <c r="C59" s="8">
        <v>2053</v>
      </c>
      <c r="D59" s="8" t="s">
        <v>12</v>
      </c>
      <c r="E59" s="8">
        <v>4</v>
      </c>
      <c r="F59" s="8">
        <v>33.67</v>
      </c>
      <c r="G59" s="8">
        <v>0.25</v>
      </c>
      <c r="H59" s="8" t="s">
        <v>13</v>
      </c>
      <c r="I59" s="12" t="s">
        <v>18</v>
      </c>
    </row>
    <row r="60" spans="1:9" x14ac:dyDescent="0.3">
      <c r="A60" s="5">
        <v>10059</v>
      </c>
      <c r="B60" s="9">
        <v>44620</v>
      </c>
      <c r="C60" s="6">
        <v>2002</v>
      </c>
      <c r="D60" s="6" t="s">
        <v>16</v>
      </c>
      <c r="E60" s="6">
        <v>7</v>
      </c>
      <c r="F60" s="6">
        <v>41.97</v>
      </c>
      <c r="G60" s="6">
        <v>0.2</v>
      </c>
      <c r="H60" s="6" t="s">
        <v>13</v>
      </c>
      <c r="I60" s="10" t="s">
        <v>18</v>
      </c>
    </row>
    <row r="61" spans="1:9" x14ac:dyDescent="0.3">
      <c r="A61" s="7">
        <v>10060</v>
      </c>
      <c r="B61" s="11">
        <v>44621</v>
      </c>
      <c r="C61" s="8">
        <v>2084</v>
      </c>
      <c r="D61" s="8" t="s">
        <v>14</v>
      </c>
      <c r="E61" s="8">
        <v>4</v>
      </c>
      <c r="F61" s="8">
        <v>426.95</v>
      </c>
      <c r="G61" s="8">
        <v>0.04</v>
      </c>
      <c r="H61" s="8" t="s">
        <v>20</v>
      </c>
      <c r="I61" s="12" t="s">
        <v>18</v>
      </c>
    </row>
    <row r="62" spans="1:9" x14ac:dyDescent="0.3">
      <c r="A62" s="5">
        <v>10061</v>
      </c>
      <c r="B62" s="9">
        <v>44622</v>
      </c>
      <c r="C62" s="6">
        <v>2092</v>
      </c>
      <c r="D62" s="6" t="s">
        <v>12</v>
      </c>
      <c r="E62" s="6">
        <v>6</v>
      </c>
      <c r="F62" s="6">
        <v>495.12</v>
      </c>
      <c r="G62" s="6">
        <v>0.14000000000000001</v>
      </c>
      <c r="H62" s="6" t="s">
        <v>10</v>
      </c>
      <c r="I62" s="10" t="s">
        <v>11</v>
      </c>
    </row>
    <row r="63" spans="1:9" x14ac:dyDescent="0.3">
      <c r="A63" s="7">
        <v>10062</v>
      </c>
      <c r="B63" s="11">
        <v>44623</v>
      </c>
      <c r="C63" s="8">
        <v>2060</v>
      </c>
      <c r="D63" s="8" t="s">
        <v>14</v>
      </c>
      <c r="E63" s="8">
        <v>9</v>
      </c>
      <c r="F63" s="8">
        <v>339.65</v>
      </c>
      <c r="G63" s="8">
        <v>0.15</v>
      </c>
      <c r="H63" s="8" t="s">
        <v>15</v>
      </c>
      <c r="I63" s="12" t="s">
        <v>11</v>
      </c>
    </row>
    <row r="64" spans="1:9" x14ac:dyDescent="0.3">
      <c r="A64" s="5">
        <v>10063</v>
      </c>
      <c r="B64" s="9">
        <v>44624</v>
      </c>
      <c r="C64" s="6">
        <v>2071</v>
      </c>
      <c r="D64" s="6" t="s">
        <v>19</v>
      </c>
      <c r="E64" s="6">
        <v>1</v>
      </c>
      <c r="F64" s="6">
        <v>225.75</v>
      </c>
      <c r="G64" s="6">
        <v>7.0000000000000007E-2</v>
      </c>
      <c r="H64" s="6" t="s">
        <v>10</v>
      </c>
      <c r="I64" s="10" t="s">
        <v>18</v>
      </c>
    </row>
    <row r="65" spans="1:9" x14ac:dyDescent="0.3">
      <c r="A65" s="7">
        <v>10064</v>
      </c>
      <c r="B65" s="11">
        <v>44625</v>
      </c>
      <c r="C65" s="8">
        <v>2044</v>
      </c>
      <c r="D65" s="8" t="s">
        <v>12</v>
      </c>
      <c r="E65" s="8">
        <v>5</v>
      </c>
      <c r="F65" s="8">
        <v>325.55</v>
      </c>
      <c r="G65" s="8">
        <v>0.02</v>
      </c>
      <c r="H65" s="8" t="s">
        <v>20</v>
      </c>
      <c r="I65" s="12" t="s">
        <v>18</v>
      </c>
    </row>
    <row r="66" spans="1:9" x14ac:dyDescent="0.3">
      <c r="A66" s="5">
        <v>10065</v>
      </c>
      <c r="B66" s="9">
        <v>44626</v>
      </c>
      <c r="C66" s="6">
        <v>2008</v>
      </c>
      <c r="D66" s="6" t="s">
        <v>16</v>
      </c>
      <c r="E66" s="6">
        <v>7</v>
      </c>
      <c r="F66" s="6">
        <v>299.23</v>
      </c>
      <c r="G66" s="6">
        <v>0.23</v>
      </c>
      <c r="H66" s="6" t="s">
        <v>10</v>
      </c>
      <c r="I66" s="10" t="s">
        <v>11</v>
      </c>
    </row>
    <row r="67" spans="1:9" x14ac:dyDescent="0.3">
      <c r="A67" s="7">
        <v>10066</v>
      </c>
      <c r="B67" s="11">
        <v>44627</v>
      </c>
      <c r="C67" s="8">
        <v>2047</v>
      </c>
      <c r="D67" s="8" t="s">
        <v>12</v>
      </c>
      <c r="E67" s="8">
        <v>1</v>
      </c>
      <c r="F67" s="8">
        <v>194.89</v>
      </c>
      <c r="G67" s="8">
        <v>0.04</v>
      </c>
      <c r="H67" s="8" t="s">
        <v>10</v>
      </c>
      <c r="I67" s="12" t="s">
        <v>11</v>
      </c>
    </row>
    <row r="68" spans="1:9" x14ac:dyDescent="0.3">
      <c r="A68" s="5">
        <v>10067</v>
      </c>
      <c r="B68" s="9">
        <v>44628</v>
      </c>
      <c r="C68" s="6">
        <v>2035</v>
      </c>
      <c r="D68" s="6" t="s">
        <v>12</v>
      </c>
      <c r="E68" s="6">
        <v>4</v>
      </c>
      <c r="F68" s="6">
        <v>37.479999999999997</v>
      </c>
      <c r="G68" s="6">
        <v>0.18</v>
      </c>
      <c r="H68" s="6" t="s">
        <v>20</v>
      </c>
      <c r="I68" s="10" t="s">
        <v>11</v>
      </c>
    </row>
    <row r="69" spans="1:9" x14ac:dyDescent="0.3">
      <c r="A69" s="7">
        <v>10068</v>
      </c>
      <c r="B69" s="11">
        <v>44629</v>
      </c>
      <c r="C69" s="8">
        <v>2078</v>
      </c>
      <c r="D69" s="8" t="s">
        <v>12</v>
      </c>
      <c r="E69" s="8">
        <v>6</v>
      </c>
      <c r="F69" s="8">
        <v>411.65</v>
      </c>
      <c r="G69" s="8">
        <v>0.28000000000000003</v>
      </c>
      <c r="H69" s="8" t="s">
        <v>13</v>
      </c>
      <c r="I69" s="12" t="s">
        <v>11</v>
      </c>
    </row>
    <row r="70" spans="1:9" x14ac:dyDescent="0.3">
      <c r="A70" s="5">
        <v>10069</v>
      </c>
      <c r="B70" s="9">
        <v>44630</v>
      </c>
      <c r="C70" s="6">
        <v>2081</v>
      </c>
      <c r="D70" s="6" t="s">
        <v>12</v>
      </c>
      <c r="E70" s="6">
        <v>2</v>
      </c>
      <c r="F70" s="6">
        <v>189.06</v>
      </c>
      <c r="G70" s="6">
        <v>0.26</v>
      </c>
      <c r="H70" s="6" t="s">
        <v>15</v>
      </c>
      <c r="I70" s="10" t="s">
        <v>11</v>
      </c>
    </row>
    <row r="71" spans="1:9" x14ac:dyDescent="0.3">
      <c r="A71" s="7">
        <v>10070</v>
      </c>
      <c r="B71" s="11">
        <v>44631</v>
      </c>
      <c r="C71" s="8">
        <v>2036</v>
      </c>
      <c r="D71" s="8" t="s">
        <v>14</v>
      </c>
      <c r="E71" s="8">
        <v>5</v>
      </c>
      <c r="F71" s="8">
        <v>410.3</v>
      </c>
      <c r="G71" s="8">
        <v>0.08</v>
      </c>
      <c r="H71" s="8" t="s">
        <v>20</v>
      </c>
      <c r="I71" s="12" t="s">
        <v>11</v>
      </c>
    </row>
    <row r="72" spans="1:9" x14ac:dyDescent="0.3">
      <c r="A72" s="5">
        <v>10071</v>
      </c>
      <c r="B72" s="9">
        <v>44632</v>
      </c>
      <c r="C72" s="6">
        <v>2050</v>
      </c>
      <c r="D72" s="6" t="s">
        <v>19</v>
      </c>
      <c r="E72" s="6">
        <v>1</v>
      </c>
      <c r="F72" s="6">
        <v>129.99</v>
      </c>
      <c r="G72" s="6">
        <v>0.26</v>
      </c>
      <c r="H72" s="6" t="s">
        <v>17</v>
      </c>
      <c r="I72" s="10" t="s">
        <v>11</v>
      </c>
    </row>
    <row r="73" spans="1:9" x14ac:dyDescent="0.3">
      <c r="A73" s="7">
        <v>10072</v>
      </c>
      <c r="B73" s="11">
        <v>44633</v>
      </c>
      <c r="C73" s="8">
        <v>2004</v>
      </c>
      <c r="D73" s="8" t="s">
        <v>9</v>
      </c>
      <c r="E73" s="8">
        <v>6</v>
      </c>
      <c r="F73" s="8">
        <v>5.51</v>
      </c>
      <c r="G73" s="8">
        <v>0</v>
      </c>
      <c r="H73" s="8" t="s">
        <v>13</v>
      </c>
      <c r="I73" s="12" t="s">
        <v>11</v>
      </c>
    </row>
    <row r="74" spans="1:9" x14ac:dyDescent="0.3">
      <c r="A74" s="5">
        <v>10073</v>
      </c>
      <c r="B74" s="9">
        <v>44634</v>
      </c>
      <c r="C74" s="6">
        <v>2002</v>
      </c>
      <c r="D74" s="6" t="s">
        <v>12</v>
      </c>
      <c r="E74" s="6">
        <v>6</v>
      </c>
      <c r="F74" s="6">
        <v>83.67</v>
      </c>
      <c r="G74" s="6">
        <v>0.01</v>
      </c>
      <c r="H74" s="6" t="s">
        <v>17</v>
      </c>
      <c r="I74" s="10" t="s">
        <v>18</v>
      </c>
    </row>
    <row r="75" spans="1:9" x14ac:dyDescent="0.3">
      <c r="A75" s="7">
        <v>10074</v>
      </c>
      <c r="B75" s="11">
        <v>44635</v>
      </c>
      <c r="C75" s="8">
        <v>2006</v>
      </c>
      <c r="D75" s="8" t="s">
        <v>16</v>
      </c>
      <c r="E75" s="8">
        <v>4</v>
      </c>
      <c r="F75" s="8">
        <v>236.93</v>
      </c>
      <c r="G75" s="8">
        <v>0.18</v>
      </c>
      <c r="H75" s="8" t="s">
        <v>13</v>
      </c>
      <c r="I75" s="12" t="s">
        <v>18</v>
      </c>
    </row>
    <row r="76" spans="1:9" x14ac:dyDescent="0.3">
      <c r="A76" s="5">
        <v>10075</v>
      </c>
      <c r="B76" s="9">
        <v>44636</v>
      </c>
      <c r="C76" s="6">
        <v>2054</v>
      </c>
      <c r="D76" s="6" t="s">
        <v>12</v>
      </c>
      <c r="E76" s="6">
        <v>8</v>
      </c>
      <c r="F76" s="6">
        <v>472.43</v>
      </c>
      <c r="G76" s="6">
        <v>0.11</v>
      </c>
      <c r="H76" s="6" t="s">
        <v>15</v>
      </c>
      <c r="I76" s="10" t="s">
        <v>18</v>
      </c>
    </row>
    <row r="77" spans="1:9" x14ac:dyDescent="0.3">
      <c r="A77" s="7">
        <v>10076</v>
      </c>
      <c r="B77" s="11">
        <v>44637</v>
      </c>
      <c r="C77" s="8">
        <v>2004</v>
      </c>
      <c r="D77" s="8" t="s">
        <v>16</v>
      </c>
      <c r="E77" s="8">
        <v>4</v>
      </c>
      <c r="F77" s="8">
        <v>55.59</v>
      </c>
      <c r="G77" s="8">
        <v>0.12</v>
      </c>
      <c r="H77" s="8" t="s">
        <v>15</v>
      </c>
      <c r="I77" s="12" t="s">
        <v>18</v>
      </c>
    </row>
    <row r="78" spans="1:9" x14ac:dyDescent="0.3">
      <c r="A78" s="5">
        <v>10077</v>
      </c>
      <c r="B78" s="9">
        <v>44638</v>
      </c>
      <c r="C78" s="6">
        <v>2054</v>
      </c>
      <c r="D78" s="6" t="s">
        <v>14</v>
      </c>
      <c r="E78" s="6">
        <v>8</v>
      </c>
      <c r="F78" s="6">
        <v>427.83</v>
      </c>
      <c r="G78" s="6">
        <v>0.17</v>
      </c>
      <c r="H78" s="6" t="s">
        <v>10</v>
      </c>
      <c r="I78" s="10" t="s">
        <v>18</v>
      </c>
    </row>
    <row r="79" spans="1:9" x14ac:dyDescent="0.3">
      <c r="A79" s="7">
        <v>10078</v>
      </c>
      <c r="B79" s="11">
        <v>44639</v>
      </c>
      <c r="C79" s="8">
        <v>2093</v>
      </c>
      <c r="D79" s="8" t="s">
        <v>16</v>
      </c>
      <c r="E79" s="8">
        <v>8</v>
      </c>
      <c r="F79" s="8">
        <v>265.88</v>
      </c>
      <c r="G79" s="8">
        <v>0.06</v>
      </c>
      <c r="H79" s="8" t="s">
        <v>17</v>
      </c>
      <c r="I79" s="12" t="s">
        <v>18</v>
      </c>
    </row>
    <row r="80" spans="1:9" x14ac:dyDescent="0.3">
      <c r="A80" s="5">
        <v>10079</v>
      </c>
      <c r="B80" s="9">
        <v>44640</v>
      </c>
      <c r="C80" s="6">
        <v>2063</v>
      </c>
      <c r="D80" s="6" t="s">
        <v>9</v>
      </c>
      <c r="E80" s="6">
        <v>5</v>
      </c>
      <c r="F80" s="6">
        <v>413.83</v>
      </c>
      <c r="G80" s="6">
        <v>0.06</v>
      </c>
      <c r="H80" s="6" t="s">
        <v>13</v>
      </c>
      <c r="I80" s="10" t="s">
        <v>11</v>
      </c>
    </row>
    <row r="81" spans="1:9" x14ac:dyDescent="0.3">
      <c r="A81" s="7">
        <v>10080</v>
      </c>
      <c r="B81" s="11">
        <v>44641</v>
      </c>
      <c r="C81" s="8">
        <v>2018</v>
      </c>
      <c r="D81" s="8" t="s">
        <v>19</v>
      </c>
      <c r="E81" s="8">
        <v>4</v>
      </c>
      <c r="F81" s="8">
        <v>152.69999999999999</v>
      </c>
      <c r="G81" s="8">
        <v>0.15</v>
      </c>
      <c r="H81" s="8" t="s">
        <v>15</v>
      </c>
      <c r="I81" s="12" t="s">
        <v>11</v>
      </c>
    </row>
    <row r="82" spans="1:9" x14ac:dyDescent="0.3">
      <c r="A82" s="5">
        <v>10081</v>
      </c>
      <c r="B82" s="9">
        <v>44642</v>
      </c>
      <c r="C82" s="6">
        <v>2090</v>
      </c>
      <c r="D82" s="6" t="s">
        <v>16</v>
      </c>
      <c r="E82" s="6">
        <v>2</v>
      </c>
      <c r="F82" s="6">
        <v>420.77</v>
      </c>
      <c r="G82" s="6">
        <v>0.23</v>
      </c>
      <c r="H82" s="6" t="s">
        <v>20</v>
      </c>
      <c r="I82" s="10" t="s">
        <v>18</v>
      </c>
    </row>
    <row r="83" spans="1:9" x14ac:dyDescent="0.3">
      <c r="A83" s="7">
        <v>10082</v>
      </c>
      <c r="B83" s="11">
        <v>44643</v>
      </c>
      <c r="C83" s="8">
        <v>2044</v>
      </c>
      <c r="D83" s="8" t="s">
        <v>16</v>
      </c>
      <c r="E83" s="8">
        <v>3</v>
      </c>
      <c r="F83" s="8">
        <v>387.55</v>
      </c>
      <c r="G83" s="8">
        <v>0.19</v>
      </c>
      <c r="H83" s="8" t="s">
        <v>15</v>
      </c>
      <c r="I83" s="12" t="s">
        <v>18</v>
      </c>
    </row>
    <row r="84" spans="1:9" x14ac:dyDescent="0.3">
      <c r="A84" s="5">
        <v>10083</v>
      </c>
      <c r="B84" s="9">
        <v>44644</v>
      </c>
      <c r="C84" s="6">
        <v>2034</v>
      </c>
      <c r="D84" s="6" t="s">
        <v>19</v>
      </c>
      <c r="E84" s="6">
        <v>3</v>
      </c>
      <c r="F84" s="6">
        <v>118.88</v>
      </c>
      <c r="G84" s="6">
        <v>0.09</v>
      </c>
      <c r="H84" s="6" t="s">
        <v>20</v>
      </c>
      <c r="I84" s="10" t="s">
        <v>11</v>
      </c>
    </row>
    <row r="85" spans="1:9" x14ac:dyDescent="0.3">
      <c r="A85" s="7">
        <v>10084</v>
      </c>
      <c r="B85" s="11">
        <v>44645</v>
      </c>
      <c r="C85" s="8">
        <v>2074</v>
      </c>
      <c r="D85" s="8" t="s">
        <v>9</v>
      </c>
      <c r="E85" s="8">
        <v>4</v>
      </c>
      <c r="F85" s="8">
        <v>70.010000000000005</v>
      </c>
      <c r="G85" s="8">
        <v>0.13</v>
      </c>
      <c r="H85" s="8" t="s">
        <v>13</v>
      </c>
      <c r="I85" s="12" t="s">
        <v>11</v>
      </c>
    </row>
    <row r="86" spans="1:9" x14ac:dyDescent="0.3">
      <c r="A86" s="5">
        <v>10085</v>
      </c>
      <c r="B86" s="9">
        <v>44646</v>
      </c>
      <c r="C86" s="6">
        <v>2062</v>
      </c>
      <c r="D86" s="6" t="s">
        <v>12</v>
      </c>
      <c r="E86" s="6">
        <v>4</v>
      </c>
      <c r="F86" s="6">
        <v>434.69</v>
      </c>
      <c r="G86" s="6">
        <v>0.05</v>
      </c>
      <c r="H86" s="6" t="s">
        <v>15</v>
      </c>
      <c r="I86" s="10" t="s">
        <v>11</v>
      </c>
    </row>
    <row r="87" spans="1:9" x14ac:dyDescent="0.3">
      <c r="A87" s="7">
        <v>10086</v>
      </c>
      <c r="B87" s="11">
        <v>44647</v>
      </c>
      <c r="C87" s="8">
        <v>2100</v>
      </c>
      <c r="D87" s="8" t="s">
        <v>16</v>
      </c>
      <c r="E87" s="8">
        <v>5</v>
      </c>
      <c r="F87" s="8">
        <v>481.8</v>
      </c>
      <c r="G87" s="8">
        <v>0.02</v>
      </c>
      <c r="H87" s="8" t="s">
        <v>15</v>
      </c>
      <c r="I87" s="12" t="s">
        <v>18</v>
      </c>
    </row>
    <row r="88" spans="1:9" x14ac:dyDescent="0.3">
      <c r="A88" s="5">
        <v>10087</v>
      </c>
      <c r="B88" s="9">
        <v>44648</v>
      </c>
      <c r="C88" s="6">
        <v>2014</v>
      </c>
      <c r="D88" s="6" t="s">
        <v>19</v>
      </c>
      <c r="E88" s="6">
        <v>4</v>
      </c>
      <c r="F88" s="6">
        <v>20.49</v>
      </c>
      <c r="G88" s="6">
        <v>0.23</v>
      </c>
      <c r="H88" s="6" t="s">
        <v>13</v>
      </c>
      <c r="I88" s="10" t="s">
        <v>11</v>
      </c>
    </row>
    <row r="89" spans="1:9" x14ac:dyDescent="0.3">
      <c r="A89" s="7">
        <v>10088</v>
      </c>
      <c r="B89" s="11">
        <v>44649</v>
      </c>
      <c r="C89" s="8">
        <v>2095</v>
      </c>
      <c r="D89" s="8" t="s">
        <v>14</v>
      </c>
      <c r="E89" s="8">
        <v>8</v>
      </c>
      <c r="F89" s="8">
        <v>366.98</v>
      </c>
      <c r="G89" s="8">
        <v>0.08</v>
      </c>
      <c r="H89" s="8" t="s">
        <v>15</v>
      </c>
      <c r="I89" s="12" t="s">
        <v>18</v>
      </c>
    </row>
    <row r="90" spans="1:9" x14ac:dyDescent="0.3">
      <c r="A90" s="5">
        <v>10089</v>
      </c>
      <c r="B90" s="9">
        <v>44650</v>
      </c>
      <c r="C90" s="6">
        <v>2048</v>
      </c>
      <c r="D90" s="6" t="s">
        <v>19</v>
      </c>
      <c r="E90" s="6">
        <v>6</v>
      </c>
      <c r="F90" s="6">
        <v>455.21</v>
      </c>
      <c r="G90" s="6">
        <v>0.05</v>
      </c>
      <c r="H90" s="6" t="s">
        <v>20</v>
      </c>
      <c r="I90" s="10" t="s">
        <v>18</v>
      </c>
    </row>
    <row r="91" spans="1:9" x14ac:dyDescent="0.3">
      <c r="A91" s="7">
        <v>10090</v>
      </c>
      <c r="B91" s="11">
        <v>44651</v>
      </c>
      <c r="C91" s="8">
        <v>2015</v>
      </c>
      <c r="D91" s="8" t="s">
        <v>14</v>
      </c>
      <c r="E91" s="8">
        <v>6</v>
      </c>
      <c r="F91" s="8">
        <v>429.39</v>
      </c>
      <c r="G91" s="8">
        <v>0.21</v>
      </c>
      <c r="H91" s="8" t="s">
        <v>15</v>
      </c>
      <c r="I91" s="12" t="s">
        <v>11</v>
      </c>
    </row>
    <row r="92" spans="1:9" x14ac:dyDescent="0.3">
      <c r="A92" s="5">
        <v>10091</v>
      </c>
      <c r="B92" s="9">
        <v>44652</v>
      </c>
      <c r="C92" s="6">
        <v>2072</v>
      </c>
      <c r="D92" s="6" t="s">
        <v>9</v>
      </c>
      <c r="E92" s="6">
        <v>8</v>
      </c>
      <c r="F92" s="6">
        <v>482.44</v>
      </c>
      <c r="G92" s="6">
        <v>0.19</v>
      </c>
      <c r="H92" s="6" t="s">
        <v>17</v>
      </c>
      <c r="I92" s="10" t="s">
        <v>11</v>
      </c>
    </row>
    <row r="93" spans="1:9" x14ac:dyDescent="0.3">
      <c r="A93" s="7">
        <v>10092</v>
      </c>
      <c r="B93" s="11">
        <v>44653</v>
      </c>
      <c r="C93" s="8">
        <v>2078</v>
      </c>
      <c r="D93" s="8" t="s">
        <v>12</v>
      </c>
      <c r="E93" s="8">
        <v>7</v>
      </c>
      <c r="F93" s="8">
        <v>381.25</v>
      </c>
      <c r="G93" s="8">
        <v>0.19</v>
      </c>
      <c r="H93" s="8" t="s">
        <v>10</v>
      </c>
      <c r="I93" s="12" t="s">
        <v>18</v>
      </c>
    </row>
    <row r="94" spans="1:9" x14ac:dyDescent="0.3">
      <c r="A94" s="5">
        <v>10093</v>
      </c>
      <c r="B94" s="9">
        <v>44654</v>
      </c>
      <c r="C94" s="6">
        <v>2087</v>
      </c>
      <c r="D94" s="6" t="s">
        <v>19</v>
      </c>
      <c r="E94" s="6">
        <v>8</v>
      </c>
      <c r="F94" s="6">
        <v>223.94</v>
      </c>
      <c r="G94" s="6">
        <v>7.0000000000000007E-2</v>
      </c>
      <c r="H94" s="6" t="s">
        <v>20</v>
      </c>
      <c r="I94" s="10" t="s">
        <v>11</v>
      </c>
    </row>
    <row r="95" spans="1:9" x14ac:dyDescent="0.3">
      <c r="A95" s="7">
        <v>10094</v>
      </c>
      <c r="B95" s="11">
        <v>44655</v>
      </c>
      <c r="C95" s="8">
        <v>2062</v>
      </c>
      <c r="D95" s="8" t="s">
        <v>16</v>
      </c>
      <c r="E95" s="8">
        <v>2</v>
      </c>
      <c r="F95" s="8">
        <v>159.41999999999999</v>
      </c>
      <c r="G95" s="8">
        <v>7.0000000000000007E-2</v>
      </c>
      <c r="H95" s="8" t="s">
        <v>17</v>
      </c>
      <c r="I95" s="12" t="s">
        <v>11</v>
      </c>
    </row>
    <row r="96" spans="1:9" x14ac:dyDescent="0.3">
      <c r="A96" s="5">
        <v>10095</v>
      </c>
      <c r="B96" s="9">
        <v>44656</v>
      </c>
      <c r="C96" s="6">
        <v>2040</v>
      </c>
      <c r="D96" s="6" t="s">
        <v>9</v>
      </c>
      <c r="E96" s="6">
        <v>9</v>
      </c>
      <c r="F96" s="6">
        <v>163.77000000000001</v>
      </c>
      <c r="G96" s="6">
        <v>7.0000000000000007E-2</v>
      </c>
      <c r="H96" s="6" t="s">
        <v>13</v>
      </c>
      <c r="I96" s="10" t="s">
        <v>18</v>
      </c>
    </row>
    <row r="97" spans="1:9" x14ac:dyDescent="0.3">
      <c r="A97" s="7">
        <v>10096</v>
      </c>
      <c r="B97" s="11">
        <v>44657</v>
      </c>
      <c r="C97" s="8">
        <v>2085</v>
      </c>
      <c r="D97" s="8" t="s">
        <v>19</v>
      </c>
      <c r="E97" s="8">
        <v>1</v>
      </c>
      <c r="F97" s="8">
        <v>363.59</v>
      </c>
      <c r="G97" s="8">
        <v>0.05</v>
      </c>
      <c r="H97" s="8" t="s">
        <v>20</v>
      </c>
      <c r="I97" s="12" t="s">
        <v>11</v>
      </c>
    </row>
    <row r="98" spans="1:9" x14ac:dyDescent="0.3">
      <c r="A98" s="5">
        <v>10097</v>
      </c>
      <c r="B98" s="9">
        <v>44658</v>
      </c>
      <c r="C98" s="6">
        <v>2080</v>
      </c>
      <c r="D98" s="6" t="s">
        <v>16</v>
      </c>
      <c r="E98" s="6">
        <v>8</v>
      </c>
      <c r="F98" s="6">
        <v>374.19</v>
      </c>
      <c r="G98" s="6">
        <v>0.2</v>
      </c>
      <c r="H98" s="6" t="s">
        <v>10</v>
      </c>
      <c r="I98" s="10" t="s">
        <v>18</v>
      </c>
    </row>
    <row r="99" spans="1:9" x14ac:dyDescent="0.3">
      <c r="A99" s="7">
        <v>10098</v>
      </c>
      <c r="B99" s="11">
        <v>44659</v>
      </c>
      <c r="C99" s="8">
        <v>2082</v>
      </c>
      <c r="D99" s="8" t="s">
        <v>19</v>
      </c>
      <c r="E99" s="8">
        <v>4</v>
      </c>
      <c r="F99" s="8">
        <v>104.18</v>
      </c>
      <c r="G99" s="8">
        <v>0.25</v>
      </c>
      <c r="H99" s="8" t="s">
        <v>10</v>
      </c>
      <c r="I99" s="12" t="s">
        <v>18</v>
      </c>
    </row>
    <row r="100" spans="1:9" x14ac:dyDescent="0.3">
      <c r="A100" s="5">
        <v>10099</v>
      </c>
      <c r="B100" s="9">
        <v>44660</v>
      </c>
      <c r="C100" s="6">
        <v>2053</v>
      </c>
      <c r="D100" s="6" t="s">
        <v>14</v>
      </c>
      <c r="E100" s="6">
        <v>4</v>
      </c>
      <c r="F100" s="6">
        <v>434.72</v>
      </c>
      <c r="G100" s="6">
        <v>0.22</v>
      </c>
      <c r="H100" s="6" t="s">
        <v>13</v>
      </c>
      <c r="I100" s="10" t="s">
        <v>11</v>
      </c>
    </row>
    <row r="101" spans="1:9" x14ac:dyDescent="0.3">
      <c r="A101" s="7">
        <v>10100</v>
      </c>
      <c r="B101" s="11">
        <v>44661</v>
      </c>
      <c r="C101" s="8">
        <v>2024</v>
      </c>
      <c r="D101" s="8" t="s">
        <v>19</v>
      </c>
      <c r="E101" s="8">
        <v>5</v>
      </c>
      <c r="F101" s="8">
        <v>358.89</v>
      </c>
      <c r="G101" s="8">
        <v>0.24</v>
      </c>
      <c r="H101" s="8" t="s">
        <v>13</v>
      </c>
      <c r="I101" s="12" t="s">
        <v>18</v>
      </c>
    </row>
    <row r="102" spans="1:9" x14ac:dyDescent="0.3">
      <c r="A102" s="5">
        <v>10101</v>
      </c>
      <c r="B102" s="9">
        <v>44662</v>
      </c>
      <c r="C102" s="6">
        <v>2026</v>
      </c>
      <c r="D102" s="6" t="s">
        <v>19</v>
      </c>
      <c r="E102" s="6">
        <v>8</v>
      </c>
      <c r="F102" s="6">
        <v>283.56</v>
      </c>
      <c r="G102" s="6">
        <v>0.12</v>
      </c>
      <c r="H102" s="6" t="s">
        <v>20</v>
      </c>
      <c r="I102" s="10" t="s">
        <v>18</v>
      </c>
    </row>
    <row r="103" spans="1:9" x14ac:dyDescent="0.3">
      <c r="A103" s="7">
        <v>10102</v>
      </c>
      <c r="B103" s="11">
        <v>44663</v>
      </c>
      <c r="C103" s="8">
        <v>2089</v>
      </c>
      <c r="D103" s="8" t="s">
        <v>19</v>
      </c>
      <c r="E103" s="8">
        <v>5</v>
      </c>
      <c r="F103" s="8">
        <v>238.41</v>
      </c>
      <c r="G103" s="8">
        <v>0.2</v>
      </c>
      <c r="H103" s="8" t="s">
        <v>15</v>
      </c>
      <c r="I103" s="12" t="s">
        <v>11</v>
      </c>
    </row>
    <row r="104" spans="1:9" x14ac:dyDescent="0.3">
      <c r="A104" s="5">
        <v>10103</v>
      </c>
      <c r="B104" s="9">
        <v>44664</v>
      </c>
      <c r="C104" s="6">
        <v>2060</v>
      </c>
      <c r="D104" s="6" t="s">
        <v>9</v>
      </c>
      <c r="E104" s="6">
        <v>8</v>
      </c>
      <c r="F104" s="6">
        <v>273.89999999999998</v>
      </c>
      <c r="G104" s="6">
        <v>0.11</v>
      </c>
      <c r="H104" s="6" t="s">
        <v>13</v>
      </c>
      <c r="I104" s="10" t="s">
        <v>11</v>
      </c>
    </row>
    <row r="105" spans="1:9" x14ac:dyDescent="0.3">
      <c r="A105" s="7">
        <v>10104</v>
      </c>
      <c r="B105" s="11">
        <v>44665</v>
      </c>
      <c r="C105" s="8">
        <v>2041</v>
      </c>
      <c r="D105" s="8" t="s">
        <v>19</v>
      </c>
      <c r="E105" s="8">
        <v>1</v>
      </c>
      <c r="F105" s="8">
        <v>83.83</v>
      </c>
      <c r="G105" s="8">
        <v>0.16</v>
      </c>
      <c r="H105" s="8" t="s">
        <v>15</v>
      </c>
      <c r="I105" s="12" t="s">
        <v>11</v>
      </c>
    </row>
    <row r="106" spans="1:9" x14ac:dyDescent="0.3">
      <c r="A106" s="5">
        <v>10105</v>
      </c>
      <c r="B106" s="9">
        <v>44666</v>
      </c>
      <c r="C106" s="6">
        <v>2029</v>
      </c>
      <c r="D106" s="6" t="s">
        <v>16</v>
      </c>
      <c r="E106" s="6">
        <v>9</v>
      </c>
      <c r="F106" s="6">
        <v>105.83</v>
      </c>
      <c r="G106" s="6">
        <v>0.14000000000000001</v>
      </c>
      <c r="H106" s="6" t="s">
        <v>17</v>
      </c>
      <c r="I106" s="10" t="s">
        <v>18</v>
      </c>
    </row>
    <row r="107" spans="1:9" x14ac:dyDescent="0.3">
      <c r="A107" s="7">
        <v>10106</v>
      </c>
      <c r="B107" s="11">
        <v>44667</v>
      </c>
      <c r="C107" s="8">
        <v>2015</v>
      </c>
      <c r="D107" s="8" t="s">
        <v>14</v>
      </c>
      <c r="E107" s="8">
        <v>6</v>
      </c>
      <c r="F107" s="8">
        <v>50.13</v>
      </c>
      <c r="G107" s="8">
        <v>0.05</v>
      </c>
      <c r="H107" s="8" t="s">
        <v>10</v>
      </c>
      <c r="I107" s="12" t="s">
        <v>18</v>
      </c>
    </row>
    <row r="108" spans="1:9" x14ac:dyDescent="0.3">
      <c r="A108" s="5">
        <v>10107</v>
      </c>
      <c r="B108" s="9">
        <v>44668</v>
      </c>
      <c r="C108" s="6">
        <v>2045</v>
      </c>
      <c r="D108" s="6" t="s">
        <v>14</v>
      </c>
      <c r="E108" s="6">
        <v>3</v>
      </c>
      <c r="F108" s="6">
        <v>81.06</v>
      </c>
      <c r="G108" s="6">
        <v>0.12</v>
      </c>
      <c r="H108" s="6" t="s">
        <v>15</v>
      </c>
      <c r="I108" s="10" t="s">
        <v>11</v>
      </c>
    </row>
    <row r="109" spans="1:9" x14ac:dyDescent="0.3">
      <c r="A109" s="7">
        <v>10108</v>
      </c>
      <c r="B109" s="11">
        <v>44669</v>
      </c>
      <c r="C109" s="8">
        <v>2065</v>
      </c>
      <c r="D109" s="8" t="s">
        <v>19</v>
      </c>
      <c r="E109" s="8">
        <v>8</v>
      </c>
      <c r="F109" s="8">
        <v>229.58</v>
      </c>
      <c r="G109" s="8">
        <v>0.28999999999999998</v>
      </c>
      <c r="H109" s="8" t="s">
        <v>10</v>
      </c>
      <c r="I109" s="12" t="s">
        <v>18</v>
      </c>
    </row>
    <row r="110" spans="1:9" x14ac:dyDescent="0.3">
      <c r="A110" s="5">
        <v>10109</v>
      </c>
      <c r="B110" s="9">
        <v>44670</v>
      </c>
      <c r="C110" s="6">
        <v>2089</v>
      </c>
      <c r="D110" s="6" t="s">
        <v>9</v>
      </c>
      <c r="E110" s="6">
        <v>9</v>
      </c>
      <c r="F110" s="6">
        <v>267.52999999999997</v>
      </c>
      <c r="G110" s="6">
        <v>7.0000000000000007E-2</v>
      </c>
      <c r="H110" s="6" t="s">
        <v>15</v>
      </c>
      <c r="I110" s="10" t="s">
        <v>11</v>
      </c>
    </row>
    <row r="111" spans="1:9" x14ac:dyDescent="0.3">
      <c r="A111" s="7">
        <v>10110</v>
      </c>
      <c r="B111" s="11">
        <v>44671</v>
      </c>
      <c r="C111" s="8">
        <v>2071</v>
      </c>
      <c r="D111" s="8" t="s">
        <v>9</v>
      </c>
      <c r="E111" s="8">
        <v>6</v>
      </c>
      <c r="F111" s="8">
        <v>13.84</v>
      </c>
      <c r="G111" s="8">
        <v>0.04</v>
      </c>
      <c r="H111" s="8" t="s">
        <v>17</v>
      </c>
      <c r="I111" s="12" t="s">
        <v>11</v>
      </c>
    </row>
    <row r="112" spans="1:9" x14ac:dyDescent="0.3">
      <c r="A112" s="5">
        <v>10111</v>
      </c>
      <c r="B112" s="9">
        <v>44672</v>
      </c>
      <c r="C112" s="6">
        <v>2009</v>
      </c>
      <c r="D112" s="6" t="s">
        <v>16</v>
      </c>
      <c r="E112" s="6">
        <v>7</v>
      </c>
      <c r="F112" s="6">
        <v>399.41</v>
      </c>
      <c r="G112" s="6">
        <v>0.13</v>
      </c>
      <c r="H112" s="6" t="s">
        <v>13</v>
      </c>
      <c r="I112" s="10" t="s">
        <v>18</v>
      </c>
    </row>
    <row r="113" spans="1:9" x14ac:dyDescent="0.3">
      <c r="A113" s="7">
        <v>10112</v>
      </c>
      <c r="B113" s="11">
        <v>44673</v>
      </c>
      <c r="C113" s="8">
        <v>2088</v>
      </c>
      <c r="D113" s="8" t="s">
        <v>19</v>
      </c>
      <c r="E113" s="8">
        <v>1</v>
      </c>
      <c r="F113" s="8">
        <v>150.61000000000001</v>
      </c>
      <c r="G113" s="8">
        <v>0.24</v>
      </c>
      <c r="H113" s="8" t="s">
        <v>17</v>
      </c>
      <c r="I113" s="12" t="s">
        <v>11</v>
      </c>
    </row>
    <row r="114" spans="1:9" x14ac:dyDescent="0.3">
      <c r="A114" s="5">
        <v>10113</v>
      </c>
      <c r="B114" s="9">
        <v>44674</v>
      </c>
      <c r="C114" s="6">
        <v>2001</v>
      </c>
      <c r="D114" s="6" t="s">
        <v>14</v>
      </c>
      <c r="E114" s="6">
        <v>5</v>
      </c>
      <c r="F114" s="6">
        <v>456.36</v>
      </c>
      <c r="G114" s="6">
        <v>0.17</v>
      </c>
      <c r="H114" s="6" t="s">
        <v>13</v>
      </c>
      <c r="I114" s="10" t="s">
        <v>18</v>
      </c>
    </row>
    <row r="115" spans="1:9" x14ac:dyDescent="0.3">
      <c r="A115" s="7">
        <v>10114</v>
      </c>
      <c r="B115" s="11">
        <v>44675</v>
      </c>
      <c r="C115" s="8">
        <v>2008</v>
      </c>
      <c r="D115" s="8" t="s">
        <v>9</v>
      </c>
      <c r="E115" s="8">
        <v>5</v>
      </c>
      <c r="F115" s="8">
        <v>483.92</v>
      </c>
      <c r="G115" s="8">
        <v>0.2</v>
      </c>
      <c r="H115" s="8" t="s">
        <v>13</v>
      </c>
      <c r="I115" s="12" t="s">
        <v>18</v>
      </c>
    </row>
    <row r="116" spans="1:9" x14ac:dyDescent="0.3">
      <c r="A116" s="5">
        <v>10115</v>
      </c>
      <c r="B116" s="9">
        <v>44676</v>
      </c>
      <c r="C116" s="6">
        <v>2088</v>
      </c>
      <c r="D116" s="6" t="s">
        <v>19</v>
      </c>
      <c r="E116" s="6">
        <v>4</v>
      </c>
      <c r="F116" s="6">
        <v>96.8</v>
      </c>
      <c r="G116" s="6">
        <v>0.06</v>
      </c>
      <c r="H116" s="6" t="s">
        <v>10</v>
      </c>
      <c r="I116" s="10" t="s">
        <v>11</v>
      </c>
    </row>
    <row r="117" spans="1:9" x14ac:dyDescent="0.3">
      <c r="A117" s="7">
        <v>10116</v>
      </c>
      <c r="B117" s="11">
        <v>44677</v>
      </c>
      <c r="C117" s="8">
        <v>2063</v>
      </c>
      <c r="D117" s="8" t="s">
        <v>9</v>
      </c>
      <c r="E117" s="8">
        <v>6</v>
      </c>
      <c r="F117" s="8">
        <v>233.74</v>
      </c>
      <c r="G117" s="8">
        <v>0.19</v>
      </c>
      <c r="H117" s="8" t="s">
        <v>17</v>
      </c>
      <c r="I117" s="12" t="s">
        <v>18</v>
      </c>
    </row>
    <row r="118" spans="1:9" x14ac:dyDescent="0.3">
      <c r="A118" s="5">
        <v>10117</v>
      </c>
      <c r="B118" s="9">
        <v>44678</v>
      </c>
      <c r="C118" s="6">
        <v>2011</v>
      </c>
      <c r="D118" s="6" t="s">
        <v>9</v>
      </c>
      <c r="E118" s="6">
        <v>7</v>
      </c>
      <c r="F118" s="6">
        <v>5.61</v>
      </c>
      <c r="G118" s="6">
        <v>0.1</v>
      </c>
      <c r="H118" s="6" t="s">
        <v>15</v>
      </c>
      <c r="I118" s="10" t="s">
        <v>11</v>
      </c>
    </row>
    <row r="119" spans="1:9" x14ac:dyDescent="0.3">
      <c r="A119" s="7">
        <v>10118</v>
      </c>
      <c r="B119" s="11">
        <v>44679</v>
      </c>
      <c r="C119" s="8">
        <v>2081</v>
      </c>
      <c r="D119" s="8" t="s">
        <v>14</v>
      </c>
      <c r="E119" s="8">
        <v>9</v>
      </c>
      <c r="F119" s="8">
        <v>301.17</v>
      </c>
      <c r="G119" s="8">
        <v>0.25</v>
      </c>
      <c r="H119" s="8" t="s">
        <v>17</v>
      </c>
      <c r="I119" s="12" t="s">
        <v>18</v>
      </c>
    </row>
    <row r="120" spans="1:9" x14ac:dyDescent="0.3">
      <c r="A120" s="5">
        <v>10119</v>
      </c>
      <c r="B120" s="9">
        <v>44680</v>
      </c>
      <c r="C120" s="6">
        <v>2008</v>
      </c>
      <c r="D120" s="6" t="s">
        <v>12</v>
      </c>
      <c r="E120" s="6">
        <v>1</v>
      </c>
      <c r="F120" s="6">
        <v>305.62</v>
      </c>
      <c r="G120" s="6">
        <v>0.19</v>
      </c>
      <c r="H120" s="6" t="s">
        <v>10</v>
      </c>
      <c r="I120" s="10" t="s">
        <v>18</v>
      </c>
    </row>
    <row r="121" spans="1:9" x14ac:dyDescent="0.3">
      <c r="A121" s="7">
        <v>10120</v>
      </c>
      <c r="B121" s="11">
        <v>44681</v>
      </c>
      <c r="C121" s="8">
        <v>2035</v>
      </c>
      <c r="D121" s="8" t="s">
        <v>16</v>
      </c>
      <c r="E121" s="8">
        <v>6</v>
      </c>
      <c r="F121" s="8">
        <v>127.53</v>
      </c>
      <c r="G121" s="8">
        <v>0.06</v>
      </c>
      <c r="H121" s="8" t="s">
        <v>13</v>
      </c>
      <c r="I121" s="12" t="s">
        <v>18</v>
      </c>
    </row>
    <row r="122" spans="1:9" x14ac:dyDescent="0.3">
      <c r="A122" s="5">
        <v>10121</v>
      </c>
      <c r="B122" s="9">
        <v>44682</v>
      </c>
      <c r="C122" s="6">
        <v>2035</v>
      </c>
      <c r="D122" s="6" t="s">
        <v>16</v>
      </c>
      <c r="E122" s="6">
        <v>7</v>
      </c>
      <c r="F122" s="6">
        <v>281.41000000000003</v>
      </c>
      <c r="G122" s="6">
        <v>0.02</v>
      </c>
      <c r="H122" s="6" t="s">
        <v>10</v>
      </c>
      <c r="I122" s="10" t="s">
        <v>11</v>
      </c>
    </row>
    <row r="123" spans="1:9" x14ac:dyDescent="0.3">
      <c r="A123" s="7">
        <v>10122</v>
      </c>
      <c r="B123" s="11">
        <v>44683</v>
      </c>
      <c r="C123" s="8">
        <v>2033</v>
      </c>
      <c r="D123" s="8" t="s">
        <v>14</v>
      </c>
      <c r="E123" s="8">
        <v>3</v>
      </c>
      <c r="F123" s="8">
        <v>116.64</v>
      </c>
      <c r="G123" s="8">
        <v>0.01</v>
      </c>
      <c r="H123" s="8" t="s">
        <v>20</v>
      </c>
      <c r="I123" s="12" t="s">
        <v>18</v>
      </c>
    </row>
    <row r="124" spans="1:9" x14ac:dyDescent="0.3">
      <c r="A124" s="5">
        <v>10123</v>
      </c>
      <c r="B124" s="9">
        <v>44684</v>
      </c>
      <c r="C124" s="6">
        <v>2005</v>
      </c>
      <c r="D124" s="6" t="s">
        <v>9</v>
      </c>
      <c r="E124" s="6">
        <v>8</v>
      </c>
      <c r="F124" s="6">
        <v>84.61</v>
      </c>
      <c r="G124" s="6">
        <v>0.11</v>
      </c>
      <c r="H124" s="6" t="s">
        <v>20</v>
      </c>
      <c r="I124" s="10" t="s">
        <v>11</v>
      </c>
    </row>
    <row r="125" spans="1:9" x14ac:dyDescent="0.3">
      <c r="A125" s="7">
        <v>10124</v>
      </c>
      <c r="B125" s="11">
        <v>44685</v>
      </c>
      <c r="C125" s="8">
        <v>2041</v>
      </c>
      <c r="D125" s="8" t="s">
        <v>19</v>
      </c>
      <c r="E125" s="8">
        <v>5</v>
      </c>
      <c r="F125" s="8">
        <v>327.5</v>
      </c>
      <c r="G125" s="8">
        <v>0.08</v>
      </c>
      <c r="H125" s="8" t="s">
        <v>15</v>
      </c>
      <c r="I125" s="12" t="s">
        <v>18</v>
      </c>
    </row>
    <row r="126" spans="1:9" x14ac:dyDescent="0.3">
      <c r="A126" s="5">
        <v>10125</v>
      </c>
      <c r="B126" s="9">
        <v>44686</v>
      </c>
      <c r="C126" s="6">
        <v>2028</v>
      </c>
      <c r="D126" s="6" t="s">
        <v>9</v>
      </c>
      <c r="E126" s="6">
        <v>9</v>
      </c>
      <c r="F126" s="6">
        <v>166.33</v>
      </c>
      <c r="G126" s="6">
        <v>0.19</v>
      </c>
      <c r="H126" s="6" t="s">
        <v>10</v>
      </c>
      <c r="I126" s="10" t="s">
        <v>18</v>
      </c>
    </row>
    <row r="127" spans="1:9" x14ac:dyDescent="0.3">
      <c r="A127" s="7">
        <v>10126</v>
      </c>
      <c r="B127" s="11">
        <v>44687</v>
      </c>
      <c r="C127" s="8">
        <v>2007</v>
      </c>
      <c r="D127" s="8" t="s">
        <v>14</v>
      </c>
      <c r="E127" s="8">
        <v>5</v>
      </c>
      <c r="F127" s="8">
        <v>297.18</v>
      </c>
      <c r="G127" s="8">
        <v>0.15</v>
      </c>
      <c r="H127" s="8" t="s">
        <v>15</v>
      </c>
      <c r="I127" s="12" t="s">
        <v>11</v>
      </c>
    </row>
    <row r="128" spans="1:9" x14ac:dyDescent="0.3">
      <c r="A128" s="5">
        <v>10127</v>
      </c>
      <c r="B128" s="9">
        <v>44688</v>
      </c>
      <c r="C128" s="6">
        <v>2073</v>
      </c>
      <c r="D128" s="6" t="s">
        <v>16</v>
      </c>
      <c r="E128" s="6">
        <v>9</v>
      </c>
      <c r="F128" s="6">
        <v>219.46</v>
      </c>
      <c r="G128" s="6">
        <v>0.08</v>
      </c>
      <c r="H128" s="6" t="s">
        <v>15</v>
      </c>
      <c r="I128" s="10" t="s">
        <v>11</v>
      </c>
    </row>
    <row r="129" spans="1:9" x14ac:dyDescent="0.3">
      <c r="A129" s="7">
        <v>10128</v>
      </c>
      <c r="B129" s="11">
        <v>44689</v>
      </c>
      <c r="C129" s="8">
        <v>2072</v>
      </c>
      <c r="D129" s="8" t="s">
        <v>9</v>
      </c>
      <c r="E129" s="8">
        <v>4</v>
      </c>
      <c r="F129" s="8">
        <v>492.25</v>
      </c>
      <c r="G129" s="8">
        <v>0.04</v>
      </c>
      <c r="H129" s="8" t="s">
        <v>20</v>
      </c>
      <c r="I129" s="12" t="s">
        <v>11</v>
      </c>
    </row>
    <row r="130" spans="1:9" x14ac:dyDescent="0.3">
      <c r="A130" s="5">
        <v>10129</v>
      </c>
      <c r="B130" s="9">
        <v>44690</v>
      </c>
      <c r="C130" s="6">
        <v>2012</v>
      </c>
      <c r="D130" s="6" t="s">
        <v>16</v>
      </c>
      <c r="E130" s="6">
        <v>9</v>
      </c>
      <c r="F130" s="6">
        <v>79.040000000000006</v>
      </c>
      <c r="G130" s="6">
        <v>0.04</v>
      </c>
      <c r="H130" s="6" t="s">
        <v>15</v>
      </c>
      <c r="I130" s="10" t="s">
        <v>11</v>
      </c>
    </row>
    <row r="131" spans="1:9" x14ac:dyDescent="0.3">
      <c r="A131" s="7">
        <v>10130</v>
      </c>
      <c r="B131" s="11">
        <v>44691</v>
      </c>
      <c r="C131" s="8">
        <v>2034</v>
      </c>
      <c r="D131" s="8" t="s">
        <v>19</v>
      </c>
      <c r="E131" s="8">
        <v>5</v>
      </c>
      <c r="F131" s="8">
        <v>234.98</v>
      </c>
      <c r="G131" s="8">
        <v>0.26</v>
      </c>
      <c r="H131" s="8" t="s">
        <v>20</v>
      </c>
      <c r="I131" s="12" t="s">
        <v>11</v>
      </c>
    </row>
    <row r="132" spans="1:9" x14ac:dyDescent="0.3">
      <c r="A132" s="5">
        <v>10131</v>
      </c>
      <c r="B132" s="9">
        <v>44692</v>
      </c>
      <c r="C132" s="6">
        <v>2033</v>
      </c>
      <c r="D132" s="6" t="s">
        <v>16</v>
      </c>
      <c r="E132" s="6">
        <v>9</v>
      </c>
      <c r="F132" s="6">
        <v>341.83</v>
      </c>
      <c r="G132" s="6">
        <v>7.0000000000000007E-2</v>
      </c>
      <c r="H132" s="6" t="s">
        <v>13</v>
      </c>
      <c r="I132" s="10" t="s">
        <v>18</v>
      </c>
    </row>
    <row r="133" spans="1:9" x14ac:dyDescent="0.3">
      <c r="A133" s="7">
        <v>10132</v>
      </c>
      <c r="B133" s="11">
        <v>44693</v>
      </c>
      <c r="C133" s="8">
        <v>2048</v>
      </c>
      <c r="D133" s="8" t="s">
        <v>16</v>
      </c>
      <c r="E133" s="8">
        <v>3</v>
      </c>
      <c r="F133" s="8">
        <v>200.79</v>
      </c>
      <c r="G133" s="8">
        <v>0.2</v>
      </c>
      <c r="H133" s="8" t="s">
        <v>10</v>
      </c>
      <c r="I133" s="12" t="s">
        <v>18</v>
      </c>
    </row>
    <row r="134" spans="1:9" x14ac:dyDescent="0.3">
      <c r="A134" s="5">
        <v>10133</v>
      </c>
      <c r="B134" s="9">
        <v>44694</v>
      </c>
      <c r="C134" s="6">
        <v>2023</v>
      </c>
      <c r="D134" s="6" t="s">
        <v>12</v>
      </c>
      <c r="E134" s="6">
        <v>4</v>
      </c>
      <c r="F134" s="6">
        <v>487.48</v>
      </c>
      <c r="G134" s="6">
        <v>0.24</v>
      </c>
      <c r="H134" s="6" t="s">
        <v>15</v>
      </c>
      <c r="I134" s="10" t="s">
        <v>11</v>
      </c>
    </row>
    <row r="135" spans="1:9" x14ac:dyDescent="0.3">
      <c r="A135" s="7">
        <v>10134</v>
      </c>
      <c r="B135" s="11">
        <v>44695</v>
      </c>
      <c r="C135" s="8">
        <v>2062</v>
      </c>
      <c r="D135" s="8" t="s">
        <v>12</v>
      </c>
      <c r="E135" s="8">
        <v>9</v>
      </c>
      <c r="F135" s="8">
        <v>362.33</v>
      </c>
      <c r="G135" s="8">
        <v>0.18</v>
      </c>
      <c r="H135" s="8" t="s">
        <v>20</v>
      </c>
      <c r="I135" s="12" t="s">
        <v>18</v>
      </c>
    </row>
    <row r="136" spans="1:9" x14ac:dyDescent="0.3">
      <c r="A136" s="5">
        <v>10135</v>
      </c>
      <c r="B136" s="9">
        <v>44696</v>
      </c>
      <c r="C136" s="6">
        <v>2088</v>
      </c>
      <c r="D136" s="6" t="s">
        <v>12</v>
      </c>
      <c r="E136" s="6">
        <v>6</v>
      </c>
      <c r="F136" s="6">
        <v>330.21</v>
      </c>
      <c r="G136" s="6">
        <v>0.26</v>
      </c>
      <c r="H136" s="6" t="s">
        <v>17</v>
      </c>
      <c r="I136" s="10" t="s">
        <v>18</v>
      </c>
    </row>
    <row r="137" spans="1:9" x14ac:dyDescent="0.3">
      <c r="A137" s="7">
        <v>10136</v>
      </c>
      <c r="B137" s="11">
        <v>44697</v>
      </c>
      <c r="C137" s="8">
        <v>2037</v>
      </c>
      <c r="D137" s="8" t="s">
        <v>16</v>
      </c>
      <c r="E137" s="8">
        <v>2</v>
      </c>
      <c r="F137" s="8">
        <v>379.74</v>
      </c>
      <c r="G137" s="8">
        <v>0.12</v>
      </c>
      <c r="H137" s="8" t="s">
        <v>15</v>
      </c>
      <c r="I137" s="12" t="s">
        <v>18</v>
      </c>
    </row>
    <row r="138" spans="1:9" x14ac:dyDescent="0.3">
      <c r="A138" s="5">
        <v>10137</v>
      </c>
      <c r="B138" s="9">
        <v>44698</v>
      </c>
      <c r="C138" s="6">
        <v>2099</v>
      </c>
      <c r="D138" s="6" t="s">
        <v>14</v>
      </c>
      <c r="E138" s="6">
        <v>7</v>
      </c>
      <c r="F138" s="6">
        <v>476.56</v>
      </c>
      <c r="G138" s="6">
        <v>0.28999999999999998</v>
      </c>
      <c r="H138" s="6" t="s">
        <v>13</v>
      </c>
      <c r="I138" s="10" t="s">
        <v>11</v>
      </c>
    </row>
    <row r="139" spans="1:9" x14ac:dyDescent="0.3">
      <c r="A139" s="7">
        <v>10138</v>
      </c>
      <c r="B139" s="11">
        <v>44699</v>
      </c>
      <c r="C139" s="8">
        <v>2044</v>
      </c>
      <c r="D139" s="8" t="s">
        <v>16</v>
      </c>
      <c r="E139" s="8">
        <v>2</v>
      </c>
      <c r="F139" s="8">
        <v>454.37</v>
      </c>
      <c r="G139" s="8">
        <v>0.04</v>
      </c>
      <c r="H139" s="8" t="s">
        <v>13</v>
      </c>
      <c r="I139" s="12" t="s">
        <v>18</v>
      </c>
    </row>
    <row r="140" spans="1:9" x14ac:dyDescent="0.3">
      <c r="A140" s="5">
        <v>10139</v>
      </c>
      <c r="B140" s="9">
        <v>44700</v>
      </c>
      <c r="C140" s="6">
        <v>2086</v>
      </c>
      <c r="D140" s="6" t="s">
        <v>14</v>
      </c>
      <c r="E140" s="6">
        <v>2</v>
      </c>
      <c r="F140" s="6">
        <v>363.52</v>
      </c>
      <c r="G140" s="6">
        <v>0.03</v>
      </c>
      <c r="H140" s="6" t="s">
        <v>17</v>
      </c>
      <c r="I140" s="10" t="s">
        <v>18</v>
      </c>
    </row>
    <row r="141" spans="1:9" x14ac:dyDescent="0.3">
      <c r="A141" s="7">
        <v>10140</v>
      </c>
      <c r="B141" s="11">
        <v>44701</v>
      </c>
      <c r="C141" s="8">
        <v>2091</v>
      </c>
      <c r="D141" s="8" t="s">
        <v>14</v>
      </c>
      <c r="E141" s="8">
        <v>1</v>
      </c>
      <c r="F141" s="8">
        <v>375.84</v>
      </c>
      <c r="G141" s="8">
        <v>0.2</v>
      </c>
      <c r="H141" s="8" t="s">
        <v>20</v>
      </c>
      <c r="I141" s="12" t="s">
        <v>18</v>
      </c>
    </row>
    <row r="142" spans="1:9" x14ac:dyDescent="0.3">
      <c r="A142" s="5">
        <v>10141</v>
      </c>
      <c r="B142" s="9">
        <v>44702</v>
      </c>
      <c r="C142" s="6">
        <v>2035</v>
      </c>
      <c r="D142" s="6" t="s">
        <v>12</v>
      </c>
      <c r="E142" s="6">
        <v>3</v>
      </c>
      <c r="F142" s="6">
        <v>77.23</v>
      </c>
      <c r="G142" s="6">
        <v>0.28000000000000003</v>
      </c>
      <c r="H142" s="6" t="s">
        <v>15</v>
      </c>
      <c r="I142" s="10" t="s">
        <v>11</v>
      </c>
    </row>
    <row r="143" spans="1:9" x14ac:dyDescent="0.3">
      <c r="A143" s="7">
        <v>10142</v>
      </c>
      <c r="B143" s="11">
        <v>44703</v>
      </c>
      <c r="C143" s="8">
        <v>2065</v>
      </c>
      <c r="D143" s="8" t="s">
        <v>9</v>
      </c>
      <c r="E143" s="8">
        <v>6</v>
      </c>
      <c r="F143" s="8">
        <v>55.88</v>
      </c>
      <c r="G143" s="8">
        <v>0.24</v>
      </c>
      <c r="H143" s="8" t="s">
        <v>20</v>
      </c>
      <c r="I143" s="12" t="s">
        <v>18</v>
      </c>
    </row>
    <row r="144" spans="1:9" x14ac:dyDescent="0.3">
      <c r="A144" s="5">
        <v>10143</v>
      </c>
      <c r="B144" s="9">
        <v>44704</v>
      </c>
      <c r="C144" s="6">
        <v>2099</v>
      </c>
      <c r="D144" s="6" t="s">
        <v>19</v>
      </c>
      <c r="E144" s="6">
        <v>8</v>
      </c>
      <c r="F144" s="6">
        <v>287.60000000000002</v>
      </c>
      <c r="G144" s="6">
        <v>0.02</v>
      </c>
      <c r="H144" s="6" t="s">
        <v>13</v>
      </c>
      <c r="I144" s="10" t="s">
        <v>18</v>
      </c>
    </row>
    <row r="145" spans="1:9" x14ac:dyDescent="0.3">
      <c r="A145" s="7">
        <v>10144</v>
      </c>
      <c r="B145" s="11">
        <v>44705</v>
      </c>
      <c r="C145" s="8">
        <v>2047</v>
      </c>
      <c r="D145" s="8" t="s">
        <v>12</v>
      </c>
      <c r="E145" s="8">
        <v>9</v>
      </c>
      <c r="F145" s="8">
        <v>14.09</v>
      </c>
      <c r="G145" s="8">
        <v>0.08</v>
      </c>
      <c r="H145" s="8" t="s">
        <v>20</v>
      </c>
      <c r="I145" s="12" t="s">
        <v>11</v>
      </c>
    </row>
    <row r="146" spans="1:9" x14ac:dyDescent="0.3">
      <c r="A146" s="5">
        <v>10145</v>
      </c>
      <c r="B146" s="9">
        <v>44706</v>
      </c>
      <c r="C146" s="6">
        <v>2078</v>
      </c>
      <c r="D146" s="6" t="s">
        <v>12</v>
      </c>
      <c r="E146" s="6">
        <v>7</v>
      </c>
      <c r="F146" s="6">
        <v>243.77</v>
      </c>
      <c r="G146" s="6">
        <v>0.28000000000000003</v>
      </c>
      <c r="H146" s="6" t="s">
        <v>13</v>
      </c>
      <c r="I146" s="10" t="s">
        <v>11</v>
      </c>
    </row>
    <row r="147" spans="1:9" x14ac:dyDescent="0.3">
      <c r="A147" s="7">
        <v>10146</v>
      </c>
      <c r="B147" s="11">
        <v>44707</v>
      </c>
      <c r="C147" s="8">
        <v>2003</v>
      </c>
      <c r="D147" s="8" t="s">
        <v>9</v>
      </c>
      <c r="E147" s="8">
        <v>4</v>
      </c>
      <c r="F147" s="8">
        <v>109.12</v>
      </c>
      <c r="G147" s="8">
        <v>0.08</v>
      </c>
      <c r="H147" s="8" t="s">
        <v>20</v>
      </c>
      <c r="I147" s="12" t="s">
        <v>18</v>
      </c>
    </row>
    <row r="148" spans="1:9" x14ac:dyDescent="0.3">
      <c r="A148" s="5">
        <v>10147</v>
      </c>
      <c r="B148" s="9">
        <v>44708</v>
      </c>
      <c r="C148" s="6">
        <v>2001</v>
      </c>
      <c r="D148" s="6" t="s">
        <v>19</v>
      </c>
      <c r="E148" s="6">
        <v>6</v>
      </c>
      <c r="F148" s="6">
        <v>176.28</v>
      </c>
      <c r="G148" s="6">
        <v>0.23</v>
      </c>
      <c r="H148" s="6" t="s">
        <v>17</v>
      </c>
      <c r="I148" s="10" t="s">
        <v>18</v>
      </c>
    </row>
    <row r="149" spans="1:9" x14ac:dyDescent="0.3">
      <c r="A149" s="7">
        <v>10148</v>
      </c>
      <c r="B149" s="11">
        <v>44709</v>
      </c>
      <c r="C149" s="8">
        <v>2005</v>
      </c>
      <c r="D149" s="8" t="s">
        <v>16</v>
      </c>
      <c r="E149" s="8">
        <v>5</v>
      </c>
      <c r="F149" s="8">
        <v>389.02</v>
      </c>
      <c r="G149" s="8">
        <v>0.25</v>
      </c>
      <c r="H149" s="8" t="s">
        <v>10</v>
      </c>
      <c r="I149" s="12" t="s">
        <v>11</v>
      </c>
    </row>
    <row r="150" spans="1:9" x14ac:dyDescent="0.3">
      <c r="A150" s="5">
        <v>10149</v>
      </c>
      <c r="B150" s="9">
        <v>44710</v>
      </c>
      <c r="C150" s="6">
        <v>2090</v>
      </c>
      <c r="D150" s="6" t="s">
        <v>16</v>
      </c>
      <c r="E150" s="6">
        <v>8</v>
      </c>
      <c r="F150" s="6">
        <v>470.91</v>
      </c>
      <c r="G150" s="6">
        <v>0.15</v>
      </c>
      <c r="H150" s="6" t="s">
        <v>17</v>
      </c>
      <c r="I150" s="10" t="s">
        <v>11</v>
      </c>
    </row>
    <row r="151" spans="1:9" x14ac:dyDescent="0.3">
      <c r="A151" s="7">
        <v>10150</v>
      </c>
      <c r="B151" s="11">
        <v>44711</v>
      </c>
      <c r="C151" s="8">
        <v>2014</v>
      </c>
      <c r="D151" s="8" t="s">
        <v>12</v>
      </c>
      <c r="E151" s="8">
        <v>1</v>
      </c>
      <c r="F151" s="8">
        <v>40.85</v>
      </c>
      <c r="G151" s="8">
        <v>0.12</v>
      </c>
      <c r="H151" s="8" t="s">
        <v>17</v>
      </c>
      <c r="I151" s="12" t="s">
        <v>11</v>
      </c>
    </row>
    <row r="152" spans="1:9" x14ac:dyDescent="0.3">
      <c r="A152" s="5">
        <v>10151</v>
      </c>
      <c r="B152" s="9">
        <v>44712</v>
      </c>
      <c r="C152" s="6">
        <v>2027</v>
      </c>
      <c r="D152" s="6" t="s">
        <v>19</v>
      </c>
      <c r="E152" s="6">
        <v>1</v>
      </c>
      <c r="F152" s="6">
        <v>269.45</v>
      </c>
      <c r="G152" s="6">
        <v>0.14000000000000001</v>
      </c>
      <c r="H152" s="6" t="s">
        <v>10</v>
      </c>
      <c r="I152" s="10" t="s">
        <v>11</v>
      </c>
    </row>
    <row r="153" spans="1:9" x14ac:dyDescent="0.3">
      <c r="A153" s="7">
        <v>10152</v>
      </c>
      <c r="B153" s="11">
        <v>44713</v>
      </c>
      <c r="C153" s="8">
        <v>2009</v>
      </c>
      <c r="D153" s="8" t="s">
        <v>12</v>
      </c>
      <c r="E153" s="8">
        <v>6</v>
      </c>
      <c r="F153" s="8">
        <v>441.85</v>
      </c>
      <c r="G153" s="8">
        <v>7.0000000000000007E-2</v>
      </c>
      <c r="H153" s="8" t="s">
        <v>10</v>
      </c>
      <c r="I153" s="12" t="s">
        <v>11</v>
      </c>
    </row>
    <row r="154" spans="1:9" x14ac:dyDescent="0.3">
      <c r="A154" s="5">
        <v>10153</v>
      </c>
      <c r="B154" s="9">
        <v>44714</v>
      </c>
      <c r="C154" s="6">
        <v>2079</v>
      </c>
      <c r="D154" s="6" t="s">
        <v>14</v>
      </c>
      <c r="E154" s="6">
        <v>2</v>
      </c>
      <c r="F154" s="6">
        <v>45.84</v>
      </c>
      <c r="G154" s="6">
        <v>0.27</v>
      </c>
      <c r="H154" s="6" t="s">
        <v>15</v>
      </c>
      <c r="I154" s="10" t="s">
        <v>11</v>
      </c>
    </row>
    <row r="155" spans="1:9" x14ac:dyDescent="0.3">
      <c r="A155" s="7">
        <v>10154</v>
      </c>
      <c r="B155" s="11">
        <v>44715</v>
      </c>
      <c r="C155" s="8">
        <v>2015</v>
      </c>
      <c r="D155" s="8" t="s">
        <v>12</v>
      </c>
      <c r="E155" s="8">
        <v>5</v>
      </c>
      <c r="F155" s="8">
        <v>413.13</v>
      </c>
      <c r="G155" s="8">
        <v>0.14000000000000001</v>
      </c>
      <c r="H155" s="8" t="s">
        <v>15</v>
      </c>
      <c r="I155" s="12" t="s">
        <v>11</v>
      </c>
    </row>
    <row r="156" spans="1:9" x14ac:dyDescent="0.3">
      <c r="A156" s="5">
        <v>10155</v>
      </c>
      <c r="B156" s="9">
        <v>44716</v>
      </c>
      <c r="C156" s="6">
        <v>2090</v>
      </c>
      <c r="D156" s="6" t="s">
        <v>12</v>
      </c>
      <c r="E156" s="6">
        <v>1</v>
      </c>
      <c r="F156" s="6">
        <v>182.11</v>
      </c>
      <c r="G156" s="6">
        <v>0.26</v>
      </c>
      <c r="H156" s="6" t="s">
        <v>17</v>
      </c>
      <c r="I156" s="10" t="s">
        <v>18</v>
      </c>
    </row>
    <row r="157" spans="1:9" x14ac:dyDescent="0.3">
      <c r="A157" s="7">
        <v>10156</v>
      </c>
      <c r="B157" s="11">
        <v>44717</v>
      </c>
      <c r="C157" s="8">
        <v>2042</v>
      </c>
      <c r="D157" s="8" t="s">
        <v>16</v>
      </c>
      <c r="E157" s="8">
        <v>7</v>
      </c>
      <c r="F157" s="8">
        <v>164.44</v>
      </c>
      <c r="G157" s="8">
        <v>0.03</v>
      </c>
      <c r="H157" s="8" t="s">
        <v>17</v>
      </c>
      <c r="I157" s="12" t="s">
        <v>11</v>
      </c>
    </row>
    <row r="158" spans="1:9" x14ac:dyDescent="0.3">
      <c r="A158" s="5">
        <v>10157</v>
      </c>
      <c r="B158" s="9">
        <v>44718</v>
      </c>
      <c r="C158" s="6">
        <v>2077</v>
      </c>
      <c r="D158" s="6" t="s">
        <v>16</v>
      </c>
      <c r="E158" s="6">
        <v>1</v>
      </c>
      <c r="F158" s="6">
        <v>488.85</v>
      </c>
      <c r="G158" s="6">
        <v>0.3</v>
      </c>
      <c r="H158" s="6" t="s">
        <v>13</v>
      </c>
      <c r="I158" s="10" t="s">
        <v>11</v>
      </c>
    </row>
    <row r="159" spans="1:9" x14ac:dyDescent="0.3">
      <c r="A159" s="7">
        <v>10158</v>
      </c>
      <c r="B159" s="11">
        <v>44719</v>
      </c>
      <c r="C159" s="8">
        <v>2051</v>
      </c>
      <c r="D159" s="8" t="s">
        <v>16</v>
      </c>
      <c r="E159" s="8">
        <v>4</v>
      </c>
      <c r="F159" s="8">
        <v>104.43</v>
      </c>
      <c r="G159" s="8">
        <v>0.13</v>
      </c>
      <c r="H159" s="8" t="s">
        <v>13</v>
      </c>
      <c r="I159" s="12" t="s">
        <v>18</v>
      </c>
    </row>
    <row r="160" spans="1:9" x14ac:dyDescent="0.3">
      <c r="A160" s="5">
        <v>10159</v>
      </c>
      <c r="B160" s="9">
        <v>44720</v>
      </c>
      <c r="C160" s="6">
        <v>2063</v>
      </c>
      <c r="D160" s="6" t="s">
        <v>14</v>
      </c>
      <c r="E160" s="6">
        <v>9</v>
      </c>
      <c r="F160" s="6">
        <v>348.13</v>
      </c>
      <c r="G160" s="6">
        <v>0.01</v>
      </c>
      <c r="H160" s="6" t="s">
        <v>15</v>
      </c>
      <c r="I160" s="10" t="s">
        <v>11</v>
      </c>
    </row>
    <row r="161" spans="1:9" x14ac:dyDescent="0.3">
      <c r="A161" s="7">
        <v>10160</v>
      </c>
      <c r="B161" s="11">
        <v>44721</v>
      </c>
      <c r="C161" s="8">
        <v>2096</v>
      </c>
      <c r="D161" s="8" t="s">
        <v>16</v>
      </c>
      <c r="E161" s="8">
        <v>1</v>
      </c>
      <c r="F161" s="8">
        <v>411.61</v>
      </c>
      <c r="G161" s="8">
        <v>0.01</v>
      </c>
      <c r="H161" s="8" t="s">
        <v>15</v>
      </c>
      <c r="I161" s="12" t="s">
        <v>11</v>
      </c>
    </row>
    <row r="162" spans="1:9" x14ac:dyDescent="0.3">
      <c r="A162" s="5">
        <v>10161</v>
      </c>
      <c r="B162" s="9">
        <v>44722</v>
      </c>
      <c r="C162" s="6">
        <v>2052</v>
      </c>
      <c r="D162" s="6" t="s">
        <v>19</v>
      </c>
      <c r="E162" s="6">
        <v>4</v>
      </c>
      <c r="F162" s="6">
        <v>25.39</v>
      </c>
      <c r="G162" s="6">
        <v>0.22</v>
      </c>
      <c r="H162" s="6" t="s">
        <v>13</v>
      </c>
      <c r="I162" s="10" t="s">
        <v>18</v>
      </c>
    </row>
    <row r="163" spans="1:9" x14ac:dyDescent="0.3">
      <c r="A163" s="7">
        <v>10162</v>
      </c>
      <c r="B163" s="11">
        <v>44723</v>
      </c>
      <c r="C163" s="8">
        <v>2096</v>
      </c>
      <c r="D163" s="8" t="s">
        <v>9</v>
      </c>
      <c r="E163" s="8">
        <v>6</v>
      </c>
      <c r="F163" s="8">
        <v>336.84</v>
      </c>
      <c r="G163" s="8">
        <v>0.2</v>
      </c>
      <c r="H163" s="8" t="s">
        <v>13</v>
      </c>
      <c r="I163" s="12" t="s">
        <v>11</v>
      </c>
    </row>
    <row r="164" spans="1:9" x14ac:dyDescent="0.3">
      <c r="A164" s="5">
        <v>10163</v>
      </c>
      <c r="B164" s="9">
        <v>44724</v>
      </c>
      <c r="C164" s="6">
        <v>2004</v>
      </c>
      <c r="D164" s="6" t="s">
        <v>19</v>
      </c>
      <c r="E164" s="6">
        <v>6</v>
      </c>
      <c r="F164" s="6">
        <v>476.02</v>
      </c>
      <c r="G164" s="6">
        <v>0.24</v>
      </c>
      <c r="H164" s="6" t="s">
        <v>20</v>
      </c>
      <c r="I164" s="10" t="s">
        <v>18</v>
      </c>
    </row>
    <row r="165" spans="1:9" x14ac:dyDescent="0.3">
      <c r="A165" s="7">
        <v>10164</v>
      </c>
      <c r="B165" s="11">
        <v>44725</v>
      </c>
      <c r="C165" s="8">
        <v>2094</v>
      </c>
      <c r="D165" s="8" t="s">
        <v>19</v>
      </c>
      <c r="E165" s="8">
        <v>8</v>
      </c>
      <c r="F165" s="8">
        <v>66.489999999999995</v>
      </c>
      <c r="G165" s="8">
        <v>0.03</v>
      </c>
      <c r="H165" s="8" t="s">
        <v>20</v>
      </c>
      <c r="I165" s="12" t="s">
        <v>18</v>
      </c>
    </row>
    <row r="166" spans="1:9" x14ac:dyDescent="0.3">
      <c r="A166" s="5">
        <v>10165</v>
      </c>
      <c r="B166" s="9">
        <v>44726</v>
      </c>
      <c r="C166" s="6">
        <v>2023</v>
      </c>
      <c r="D166" s="6" t="s">
        <v>16</v>
      </c>
      <c r="E166" s="6">
        <v>1</v>
      </c>
      <c r="F166" s="6">
        <v>448.63</v>
      </c>
      <c r="G166" s="6">
        <v>0.01</v>
      </c>
      <c r="H166" s="6" t="s">
        <v>13</v>
      </c>
      <c r="I166" s="10" t="s">
        <v>18</v>
      </c>
    </row>
    <row r="167" spans="1:9" x14ac:dyDescent="0.3">
      <c r="A167" s="7">
        <v>10166</v>
      </c>
      <c r="B167" s="11">
        <v>44727</v>
      </c>
      <c r="C167" s="8">
        <v>2015</v>
      </c>
      <c r="D167" s="8" t="s">
        <v>9</v>
      </c>
      <c r="E167" s="8">
        <v>7</v>
      </c>
      <c r="F167" s="8">
        <v>299.41000000000003</v>
      </c>
      <c r="G167" s="8">
        <v>0.15</v>
      </c>
      <c r="H167" s="8" t="s">
        <v>20</v>
      </c>
      <c r="I167" s="12" t="s">
        <v>18</v>
      </c>
    </row>
    <row r="168" spans="1:9" x14ac:dyDescent="0.3">
      <c r="A168" s="5">
        <v>10167</v>
      </c>
      <c r="B168" s="9">
        <v>44728</v>
      </c>
      <c r="C168" s="6">
        <v>2043</v>
      </c>
      <c r="D168" s="6" t="s">
        <v>9</v>
      </c>
      <c r="E168" s="6">
        <v>1</v>
      </c>
      <c r="F168" s="6">
        <v>310.22000000000003</v>
      </c>
      <c r="G168" s="6">
        <v>0.12</v>
      </c>
      <c r="H168" s="6" t="s">
        <v>10</v>
      </c>
      <c r="I168" s="10" t="s">
        <v>11</v>
      </c>
    </row>
    <row r="169" spans="1:9" x14ac:dyDescent="0.3">
      <c r="A169" s="7">
        <v>10168</v>
      </c>
      <c r="B169" s="11">
        <v>44729</v>
      </c>
      <c r="C169" s="8">
        <v>2029</v>
      </c>
      <c r="D169" s="8" t="s">
        <v>9</v>
      </c>
      <c r="E169" s="8">
        <v>7</v>
      </c>
      <c r="F169" s="8">
        <v>308.41000000000003</v>
      </c>
      <c r="G169" s="8">
        <v>0.14000000000000001</v>
      </c>
      <c r="H169" s="8" t="s">
        <v>15</v>
      </c>
      <c r="I169" s="12" t="s">
        <v>18</v>
      </c>
    </row>
    <row r="170" spans="1:9" x14ac:dyDescent="0.3">
      <c r="A170" s="5">
        <v>10169</v>
      </c>
      <c r="B170" s="9">
        <v>44730</v>
      </c>
      <c r="C170" s="6">
        <v>2036</v>
      </c>
      <c r="D170" s="6" t="s">
        <v>14</v>
      </c>
      <c r="E170" s="6">
        <v>3</v>
      </c>
      <c r="F170" s="6">
        <v>152.91999999999999</v>
      </c>
      <c r="G170" s="6">
        <v>0.3</v>
      </c>
      <c r="H170" s="6" t="s">
        <v>15</v>
      </c>
      <c r="I170" s="10" t="s">
        <v>18</v>
      </c>
    </row>
    <row r="171" spans="1:9" x14ac:dyDescent="0.3">
      <c r="A171" s="7">
        <v>10170</v>
      </c>
      <c r="B171" s="11">
        <v>44731</v>
      </c>
      <c r="C171" s="8">
        <v>2013</v>
      </c>
      <c r="D171" s="8" t="s">
        <v>16</v>
      </c>
      <c r="E171" s="8">
        <v>8</v>
      </c>
      <c r="F171" s="8">
        <v>467.92</v>
      </c>
      <c r="G171" s="8">
        <v>0.28999999999999998</v>
      </c>
      <c r="H171" s="8" t="s">
        <v>13</v>
      </c>
      <c r="I171" s="12" t="s">
        <v>11</v>
      </c>
    </row>
    <row r="172" spans="1:9" x14ac:dyDescent="0.3">
      <c r="A172" s="5">
        <v>10171</v>
      </c>
      <c r="B172" s="9">
        <v>44732</v>
      </c>
      <c r="C172" s="6">
        <v>2032</v>
      </c>
      <c r="D172" s="6" t="s">
        <v>9</v>
      </c>
      <c r="E172" s="6">
        <v>3</v>
      </c>
      <c r="F172" s="6">
        <v>473.94</v>
      </c>
      <c r="G172" s="6">
        <v>0.28000000000000003</v>
      </c>
      <c r="H172" s="6" t="s">
        <v>17</v>
      </c>
      <c r="I172" s="10" t="s">
        <v>18</v>
      </c>
    </row>
    <row r="173" spans="1:9" x14ac:dyDescent="0.3">
      <c r="A173" s="7">
        <v>10172</v>
      </c>
      <c r="B173" s="11">
        <v>44733</v>
      </c>
      <c r="C173" s="8">
        <v>2071</v>
      </c>
      <c r="D173" s="8" t="s">
        <v>14</v>
      </c>
      <c r="E173" s="8">
        <v>1</v>
      </c>
      <c r="F173" s="8">
        <v>314.52999999999997</v>
      </c>
      <c r="G173" s="8">
        <v>0.24</v>
      </c>
      <c r="H173" s="8" t="s">
        <v>13</v>
      </c>
      <c r="I173" s="12" t="s">
        <v>18</v>
      </c>
    </row>
    <row r="174" spans="1:9" x14ac:dyDescent="0.3">
      <c r="A174" s="5">
        <v>10173</v>
      </c>
      <c r="B174" s="9">
        <v>44734</v>
      </c>
      <c r="C174" s="6">
        <v>2059</v>
      </c>
      <c r="D174" s="6" t="s">
        <v>12</v>
      </c>
      <c r="E174" s="6">
        <v>8</v>
      </c>
      <c r="F174" s="6">
        <v>392.79</v>
      </c>
      <c r="G174" s="6">
        <v>0.11</v>
      </c>
      <c r="H174" s="6" t="s">
        <v>20</v>
      </c>
      <c r="I174" s="10" t="s">
        <v>18</v>
      </c>
    </row>
    <row r="175" spans="1:9" x14ac:dyDescent="0.3">
      <c r="A175" s="7">
        <v>10174</v>
      </c>
      <c r="B175" s="11">
        <v>44735</v>
      </c>
      <c r="C175" s="8">
        <v>2086</v>
      </c>
      <c r="D175" s="8" t="s">
        <v>12</v>
      </c>
      <c r="E175" s="8">
        <v>3</v>
      </c>
      <c r="F175" s="8">
        <v>308.07</v>
      </c>
      <c r="G175" s="8">
        <v>0.12</v>
      </c>
      <c r="H175" s="8" t="s">
        <v>17</v>
      </c>
      <c r="I175" s="12" t="s">
        <v>18</v>
      </c>
    </row>
    <row r="176" spans="1:9" x14ac:dyDescent="0.3">
      <c r="A176" s="5">
        <v>10175</v>
      </c>
      <c r="B176" s="9">
        <v>44736</v>
      </c>
      <c r="C176" s="6">
        <v>2028</v>
      </c>
      <c r="D176" s="6" t="s">
        <v>14</v>
      </c>
      <c r="E176" s="6">
        <v>2</v>
      </c>
      <c r="F176" s="6">
        <v>244.78</v>
      </c>
      <c r="G176" s="6">
        <v>0.16</v>
      </c>
      <c r="H176" s="6" t="s">
        <v>20</v>
      </c>
      <c r="I176" s="10" t="s">
        <v>11</v>
      </c>
    </row>
    <row r="177" spans="1:9" x14ac:dyDescent="0.3">
      <c r="A177" s="7">
        <v>10176</v>
      </c>
      <c r="B177" s="11">
        <v>44737</v>
      </c>
      <c r="C177" s="8">
        <v>2066</v>
      </c>
      <c r="D177" s="8" t="s">
        <v>14</v>
      </c>
      <c r="E177" s="8">
        <v>1</v>
      </c>
      <c r="F177" s="8">
        <v>332.11</v>
      </c>
      <c r="G177" s="8">
        <v>0.25</v>
      </c>
      <c r="H177" s="8" t="s">
        <v>10</v>
      </c>
      <c r="I177" s="12" t="s">
        <v>18</v>
      </c>
    </row>
    <row r="178" spans="1:9" x14ac:dyDescent="0.3">
      <c r="A178" s="5">
        <v>10177</v>
      </c>
      <c r="B178" s="9">
        <v>44738</v>
      </c>
      <c r="C178" s="6">
        <v>2042</v>
      </c>
      <c r="D178" s="6" t="s">
        <v>16</v>
      </c>
      <c r="E178" s="6">
        <v>3</v>
      </c>
      <c r="F178" s="6">
        <v>278.74</v>
      </c>
      <c r="G178" s="6">
        <v>0.02</v>
      </c>
      <c r="H178" s="6" t="s">
        <v>20</v>
      </c>
      <c r="I178" s="10" t="s">
        <v>11</v>
      </c>
    </row>
    <row r="179" spans="1:9" x14ac:dyDescent="0.3">
      <c r="A179" s="7">
        <v>10178</v>
      </c>
      <c r="B179" s="11">
        <v>44739</v>
      </c>
      <c r="C179" s="8">
        <v>2045</v>
      </c>
      <c r="D179" s="8" t="s">
        <v>16</v>
      </c>
      <c r="E179" s="8">
        <v>2</v>
      </c>
      <c r="F179" s="8">
        <v>300.75</v>
      </c>
      <c r="G179" s="8">
        <v>0.13</v>
      </c>
      <c r="H179" s="8" t="s">
        <v>10</v>
      </c>
      <c r="I179" s="12" t="s">
        <v>11</v>
      </c>
    </row>
    <row r="180" spans="1:9" x14ac:dyDescent="0.3">
      <c r="A180" s="5">
        <v>10179</v>
      </c>
      <c r="B180" s="9">
        <v>44740</v>
      </c>
      <c r="C180" s="6">
        <v>2062</v>
      </c>
      <c r="D180" s="6" t="s">
        <v>12</v>
      </c>
      <c r="E180" s="6">
        <v>2</v>
      </c>
      <c r="F180" s="6">
        <v>393</v>
      </c>
      <c r="G180" s="6">
        <v>0.02</v>
      </c>
      <c r="H180" s="6" t="s">
        <v>10</v>
      </c>
      <c r="I180" s="10" t="s">
        <v>18</v>
      </c>
    </row>
    <row r="181" spans="1:9" x14ac:dyDescent="0.3">
      <c r="A181" s="7">
        <v>10180</v>
      </c>
      <c r="B181" s="11">
        <v>44741</v>
      </c>
      <c r="C181" s="8">
        <v>2057</v>
      </c>
      <c r="D181" s="8" t="s">
        <v>9</v>
      </c>
      <c r="E181" s="8">
        <v>6</v>
      </c>
      <c r="F181" s="8">
        <v>243.05</v>
      </c>
      <c r="G181" s="8">
        <v>0.15</v>
      </c>
      <c r="H181" s="8" t="s">
        <v>20</v>
      </c>
      <c r="I181" s="12" t="s">
        <v>18</v>
      </c>
    </row>
    <row r="182" spans="1:9" x14ac:dyDescent="0.3">
      <c r="A182" s="5">
        <v>10181</v>
      </c>
      <c r="B182" s="9">
        <v>44742</v>
      </c>
      <c r="C182" s="6">
        <v>2006</v>
      </c>
      <c r="D182" s="6" t="s">
        <v>12</v>
      </c>
      <c r="E182" s="6">
        <v>1</v>
      </c>
      <c r="F182" s="6">
        <v>25.17</v>
      </c>
      <c r="G182" s="6">
        <v>0.27</v>
      </c>
      <c r="H182" s="6" t="s">
        <v>20</v>
      </c>
      <c r="I182" s="10" t="s">
        <v>18</v>
      </c>
    </row>
    <row r="183" spans="1:9" x14ac:dyDescent="0.3">
      <c r="A183" s="7">
        <v>10182</v>
      </c>
      <c r="B183" s="11">
        <v>44743</v>
      </c>
      <c r="C183" s="8">
        <v>2028</v>
      </c>
      <c r="D183" s="8" t="s">
        <v>9</v>
      </c>
      <c r="E183" s="8">
        <v>2</v>
      </c>
      <c r="F183" s="8">
        <v>86.18</v>
      </c>
      <c r="G183" s="8">
        <v>0.23</v>
      </c>
      <c r="H183" s="8" t="s">
        <v>10</v>
      </c>
      <c r="I183" s="12" t="s">
        <v>18</v>
      </c>
    </row>
    <row r="184" spans="1:9" x14ac:dyDescent="0.3">
      <c r="A184" s="5">
        <v>10183</v>
      </c>
      <c r="B184" s="9">
        <v>44744</v>
      </c>
      <c r="C184" s="6">
        <v>2028</v>
      </c>
      <c r="D184" s="6" t="s">
        <v>9</v>
      </c>
      <c r="E184" s="6">
        <v>6</v>
      </c>
      <c r="F184" s="6">
        <v>222.11</v>
      </c>
      <c r="G184" s="6">
        <v>7.0000000000000007E-2</v>
      </c>
      <c r="H184" s="6" t="s">
        <v>17</v>
      </c>
      <c r="I184" s="10" t="s">
        <v>11</v>
      </c>
    </row>
    <row r="185" spans="1:9" x14ac:dyDescent="0.3">
      <c r="A185" s="7">
        <v>10184</v>
      </c>
      <c r="B185" s="11">
        <v>44745</v>
      </c>
      <c r="C185" s="8">
        <v>2044</v>
      </c>
      <c r="D185" s="8" t="s">
        <v>16</v>
      </c>
      <c r="E185" s="8">
        <v>3</v>
      </c>
      <c r="F185" s="8">
        <v>363.79</v>
      </c>
      <c r="G185" s="8">
        <v>0.28999999999999998</v>
      </c>
      <c r="H185" s="8" t="s">
        <v>10</v>
      </c>
      <c r="I185" s="12" t="s">
        <v>11</v>
      </c>
    </row>
    <row r="186" spans="1:9" x14ac:dyDescent="0.3">
      <c r="A186" s="5">
        <v>10185</v>
      </c>
      <c r="B186" s="9">
        <v>44746</v>
      </c>
      <c r="C186" s="6">
        <v>2084</v>
      </c>
      <c r="D186" s="6" t="s">
        <v>19</v>
      </c>
      <c r="E186" s="6">
        <v>4</v>
      </c>
      <c r="F186" s="6">
        <v>298.67</v>
      </c>
      <c r="G186" s="6">
        <v>0.2</v>
      </c>
      <c r="H186" s="6" t="s">
        <v>15</v>
      </c>
      <c r="I186" s="10" t="s">
        <v>11</v>
      </c>
    </row>
    <row r="187" spans="1:9" x14ac:dyDescent="0.3">
      <c r="A187" s="7">
        <v>10186</v>
      </c>
      <c r="B187" s="11">
        <v>44747</v>
      </c>
      <c r="C187" s="8">
        <v>2030</v>
      </c>
      <c r="D187" s="8" t="s">
        <v>19</v>
      </c>
      <c r="E187" s="8">
        <v>1</v>
      </c>
      <c r="F187" s="8">
        <v>326.89999999999998</v>
      </c>
      <c r="G187" s="8">
        <v>0</v>
      </c>
      <c r="H187" s="8" t="s">
        <v>10</v>
      </c>
      <c r="I187" s="12" t="s">
        <v>18</v>
      </c>
    </row>
    <row r="188" spans="1:9" x14ac:dyDescent="0.3">
      <c r="A188" s="5">
        <v>10187</v>
      </c>
      <c r="B188" s="9">
        <v>44748</v>
      </c>
      <c r="C188" s="6">
        <v>2062</v>
      </c>
      <c r="D188" s="6" t="s">
        <v>14</v>
      </c>
      <c r="E188" s="6">
        <v>8</v>
      </c>
      <c r="F188" s="6">
        <v>242.24</v>
      </c>
      <c r="G188" s="6">
        <v>0.08</v>
      </c>
      <c r="H188" s="6" t="s">
        <v>17</v>
      </c>
      <c r="I188" s="10" t="s">
        <v>11</v>
      </c>
    </row>
    <row r="189" spans="1:9" x14ac:dyDescent="0.3">
      <c r="A189" s="7">
        <v>10188</v>
      </c>
      <c r="B189" s="11">
        <v>44749</v>
      </c>
      <c r="C189" s="8">
        <v>2075</v>
      </c>
      <c r="D189" s="8" t="s">
        <v>16</v>
      </c>
      <c r="E189" s="8">
        <v>7</v>
      </c>
      <c r="F189" s="8">
        <v>309.79000000000002</v>
      </c>
      <c r="G189" s="8">
        <v>0.08</v>
      </c>
      <c r="H189" s="8" t="s">
        <v>15</v>
      </c>
      <c r="I189" s="12" t="s">
        <v>18</v>
      </c>
    </row>
    <row r="190" spans="1:9" x14ac:dyDescent="0.3">
      <c r="A190" s="5">
        <v>10189</v>
      </c>
      <c r="B190" s="9">
        <v>44750</v>
      </c>
      <c r="C190" s="6">
        <v>2092</v>
      </c>
      <c r="D190" s="6" t="s">
        <v>9</v>
      </c>
      <c r="E190" s="6">
        <v>7</v>
      </c>
      <c r="F190" s="6">
        <v>167.86</v>
      </c>
      <c r="G190" s="6">
        <v>0.02</v>
      </c>
      <c r="H190" s="6" t="s">
        <v>13</v>
      </c>
      <c r="I190" s="10" t="s">
        <v>18</v>
      </c>
    </row>
    <row r="191" spans="1:9" x14ac:dyDescent="0.3">
      <c r="A191" s="7">
        <v>10190</v>
      </c>
      <c r="B191" s="11">
        <v>44751</v>
      </c>
      <c r="C191" s="8">
        <v>2089</v>
      </c>
      <c r="D191" s="8" t="s">
        <v>19</v>
      </c>
      <c r="E191" s="8">
        <v>3</v>
      </c>
      <c r="F191" s="8">
        <v>237.74</v>
      </c>
      <c r="G191" s="8">
        <v>0.28999999999999998</v>
      </c>
      <c r="H191" s="8" t="s">
        <v>13</v>
      </c>
      <c r="I191" s="12" t="s">
        <v>18</v>
      </c>
    </row>
    <row r="192" spans="1:9" x14ac:dyDescent="0.3">
      <c r="A192" s="5">
        <v>10191</v>
      </c>
      <c r="B192" s="9">
        <v>44752</v>
      </c>
      <c r="C192" s="6">
        <v>2062</v>
      </c>
      <c r="D192" s="6" t="s">
        <v>9</v>
      </c>
      <c r="E192" s="6">
        <v>3</v>
      </c>
      <c r="F192" s="6">
        <v>373.42</v>
      </c>
      <c r="G192" s="6">
        <v>0.14000000000000001</v>
      </c>
      <c r="H192" s="6" t="s">
        <v>17</v>
      </c>
      <c r="I192" s="10" t="s">
        <v>18</v>
      </c>
    </row>
    <row r="193" spans="1:9" x14ac:dyDescent="0.3">
      <c r="A193" s="7">
        <v>10192</v>
      </c>
      <c r="B193" s="11">
        <v>44753</v>
      </c>
      <c r="C193" s="8">
        <v>2097</v>
      </c>
      <c r="D193" s="8" t="s">
        <v>19</v>
      </c>
      <c r="E193" s="8">
        <v>2</v>
      </c>
      <c r="F193" s="8">
        <v>436.56</v>
      </c>
      <c r="G193" s="8">
        <v>0.27</v>
      </c>
      <c r="H193" s="8" t="s">
        <v>10</v>
      </c>
      <c r="I193" s="12" t="s">
        <v>18</v>
      </c>
    </row>
    <row r="194" spans="1:9" x14ac:dyDescent="0.3">
      <c r="A194" s="5">
        <v>10193</v>
      </c>
      <c r="B194" s="9">
        <v>44754</v>
      </c>
      <c r="C194" s="6">
        <v>2001</v>
      </c>
      <c r="D194" s="6" t="s">
        <v>19</v>
      </c>
      <c r="E194" s="6">
        <v>1</v>
      </c>
      <c r="F194" s="6">
        <v>219.66</v>
      </c>
      <c r="G194" s="6">
        <v>0.1</v>
      </c>
      <c r="H194" s="6" t="s">
        <v>20</v>
      </c>
      <c r="I194" s="10" t="s">
        <v>11</v>
      </c>
    </row>
    <row r="195" spans="1:9" x14ac:dyDescent="0.3">
      <c r="A195" s="7">
        <v>10194</v>
      </c>
      <c r="B195" s="11">
        <v>44755</v>
      </c>
      <c r="C195" s="8">
        <v>2027</v>
      </c>
      <c r="D195" s="8" t="s">
        <v>19</v>
      </c>
      <c r="E195" s="8">
        <v>7</v>
      </c>
      <c r="F195" s="8">
        <v>26.61</v>
      </c>
      <c r="G195" s="8">
        <v>0.04</v>
      </c>
      <c r="H195" s="8" t="s">
        <v>17</v>
      </c>
      <c r="I195" s="12" t="s">
        <v>11</v>
      </c>
    </row>
    <row r="196" spans="1:9" x14ac:dyDescent="0.3">
      <c r="A196" s="5">
        <v>10195</v>
      </c>
      <c r="B196" s="9">
        <v>44756</v>
      </c>
      <c r="C196" s="6">
        <v>2062</v>
      </c>
      <c r="D196" s="6" t="s">
        <v>16</v>
      </c>
      <c r="E196" s="6">
        <v>7</v>
      </c>
      <c r="F196" s="6">
        <v>85.03</v>
      </c>
      <c r="G196" s="6">
        <v>0.14000000000000001</v>
      </c>
      <c r="H196" s="6" t="s">
        <v>15</v>
      </c>
      <c r="I196" s="10" t="s">
        <v>18</v>
      </c>
    </row>
    <row r="197" spans="1:9" x14ac:dyDescent="0.3">
      <c r="A197" s="7">
        <v>10196</v>
      </c>
      <c r="B197" s="11">
        <v>44757</v>
      </c>
      <c r="C197" s="8">
        <v>2077</v>
      </c>
      <c r="D197" s="8" t="s">
        <v>12</v>
      </c>
      <c r="E197" s="8">
        <v>2</v>
      </c>
      <c r="F197" s="8">
        <v>15.33</v>
      </c>
      <c r="G197" s="8">
        <v>0.03</v>
      </c>
      <c r="H197" s="8" t="s">
        <v>15</v>
      </c>
      <c r="I197" s="12" t="s">
        <v>11</v>
      </c>
    </row>
    <row r="198" spans="1:9" x14ac:dyDescent="0.3">
      <c r="A198" s="5">
        <v>10197</v>
      </c>
      <c r="B198" s="9">
        <v>44758</v>
      </c>
      <c r="C198" s="6">
        <v>2003</v>
      </c>
      <c r="D198" s="6" t="s">
        <v>9</v>
      </c>
      <c r="E198" s="6">
        <v>7</v>
      </c>
      <c r="F198" s="6">
        <v>328.37</v>
      </c>
      <c r="G198" s="6">
        <v>0.15</v>
      </c>
      <c r="H198" s="6" t="s">
        <v>13</v>
      </c>
      <c r="I198" s="10" t="s">
        <v>18</v>
      </c>
    </row>
    <row r="199" spans="1:9" x14ac:dyDescent="0.3">
      <c r="A199" s="7">
        <v>10198</v>
      </c>
      <c r="B199" s="11">
        <v>44759</v>
      </c>
      <c r="C199" s="8">
        <v>2070</v>
      </c>
      <c r="D199" s="8" t="s">
        <v>16</v>
      </c>
      <c r="E199" s="8">
        <v>8</v>
      </c>
      <c r="F199" s="8">
        <v>169.5</v>
      </c>
      <c r="G199" s="8">
        <v>0.28000000000000003</v>
      </c>
      <c r="H199" s="8" t="s">
        <v>15</v>
      </c>
      <c r="I199" s="12" t="s">
        <v>18</v>
      </c>
    </row>
    <row r="200" spans="1:9" x14ac:dyDescent="0.3">
      <c r="A200" s="5">
        <v>10199</v>
      </c>
      <c r="B200" s="9">
        <v>44760</v>
      </c>
      <c r="C200" s="6">
        <v>2072</v>
      </c>
      <c r="D200" s="6" t="s">
        <v>16</v>
      </c>
      <c r="E200" s="6">
        <v>1</v>
      </c>
      <c r="F200" s="6">
        <v>273.52999999999997</v>
      </c>
      <c r="G200" s="6">
        <v>0.16</v>
      </c>
      <c r="H200" s="6" t="s">
        <v>17</v>
      </c>
      <c r="I200" s="10" t="s">
        <v>18</v>
      </c>
    </row>
    <row r="201" spans="1:9" x14ac:dyDescent="0.3">
      <c r="A201" s="7">
        <v>10200</v>
      </c>
      <c r="B201" s="11">
        <v>44761</v>
      </c>
      <c r="C201" s="8">
        <v>2027</v>
      </c>
      <c r="D201" s="8" t="s">
        <v>16</v>
      </c>
      <c r="E201" s="8">
        <v>9</v>
      </c>
      <c r="F201" s="8">
        <v>249.17</v>
      </c>
      <c r="G201" s="8">
        <v>0.18</v>
      </c>
      <c r="H201" s="8" t="s">
        <v>15</v>
      </c>
      <c r="I201" s="12" t="s">
        <v>11</v>
      </c>
    </row>
    <row r="202" spans="1:9" x14ac:dyDescent="0.3">
      <c r="A202" s="5">
        <v>10201</v>
      </c>
      <c r="B202" s="9">
        <v>44762</v>
      </c>
      <c r="C202" s="6">
        <v>2009</v>
      </c>
      <c r="D202" s="6" t="s">
        <v>16</v>
      </c>
      <c r="E202" s="6">
        <v>7</v>
      </c>
      <c r="F202" s="6">
        <v>45.36</v>
      </c>
      <c r="G202" s="6">
        <v>0.05</v>
      </c>
      <c r="H202" s="6" t="s">
        <v>17</v>
      </c>
      <c r="I202" s="10" t="s">
        <v>18</v>
      </c>
    </row>
    <row r="203" spans="1:9" x14ac:dyDescent="0.3">
      <c r="A203" s="7">
        <v>10202</v>
      </c>
      <c r="B203" s="11">
        <v>44763</v>
      </c>
      <c r="C203" s="8">
        <v>2062</v>
      </c>
      <c r="D203" s="8" t="s">
        <v>16</v>
      </c>
      <c r="E203" s="8">
        <v>3</v>
      </c>
      <c r="F203" s="8">
        <v>204.61</v>
      </c>
      <c r="G203" s="8">
        <v>0.01</v>
      </c>
      <c r="H203" s="8" t="s">
        <v>20</v>
      </c>
      <c r="I203" s="12" t="s">
        <v>18</v>
      </c>
    </row>
    <row r="204" spans="1:9" x14ac:dyDescent="0.3">
      <c r="A204" s="5">
        <v>10203</v>
      </c>
      <c r="B204" s="9">
        <v>44764</v>
      </c>
      <c r="C204" s="6">
        <v>2037</v>
      </c>
      <c r="D204" s="6" t="s">
        <v>14</v>
      </c>
      <c r="E204" s="6">
        <v>8</v>
      </c>
      <c r="F204" s="6">
        <v>114.18</v>
      </c>
      <c r="G204" s="6">
        <v>0.03</v>
      </c>
      <c r="H204" s="6" t="s">
        <v>13</v>
      </c>
      <c r="I204" s="10" t="s">
        <v>11</v>
      </c>
    </row>
    <row r="205" spans="1:9" x14ac:dyDescent="0.3">
      <c r="A205" s="7">
        <v>10204</v>
      </c>
      <c r="B205" s="11">
        <v>44765</v>
      </c>
      <c r="C205" s="8">
        <v>2097</v>
      </c>
      <c r="D205" s="8" t="s">
        <v>9</v>
      </c>
      <c r="E205" s="8">
        <v>7</v>
      </c>
      <c r="F205" s="8">
        <v>212.11</v>
      </c>
      <c r="G205" s="8">
        <v>0.18</v>
      </c>
      <c r="H205" s="8" t="s">
        <v>15</v>
      </c>
      <c r="I205" s="12" t="s">
        <v>11</v>
      </c>
    </row>
    <row r="206" spans="1:9" x14ac:dyDescent="0.3">
      <c r="A206" s="5">
        <v>10205</v>
      </c>
      <c r="B206" s="9">
        <v>44766</v>
      </c>
      <c r="C206" s="6">
        <v>2051</v>
      </c>
      <c r="D206" s="6" t="s">
        <v>16</v>
      </c>
      <c r="E206" s="6">
        <v>8</v>
      </c>
      <c r="F206" s="6">
        <v>105.77</v>
      </c>
      <c r="G206" s="6">
        <v>0.03</v>
      </c>
      <c r="H206" s="6" t="s">
        <v>17</v>
      </c>
      <c r="I206" s="10" t="s">
        <v>11</v>
      </c>
    </row>
    <row r="207" spans="1:9" x14ac:dyDescent="0.3">
      <c r="A207" s="7">
        <v>10206</v>
      </c>
      <c r="B207" s="11">
        <v>44767</v>
      </c>
      <c r="C207" s="8">
        <v>2044</v>
      </c>
      <c r="D207" s="8" t="s">
        <v>9</v>
      </c>
      <c r="E207" s="8">
        <v>6</v>
      </c>
      <c r="F207" s="8">
        <v>421.02</v>
      </c>
      <c r="G207" s="8">
        <v>0.11</v>
      </c>
      <c r="H207" s="8" t="s">
        <v>10</v>
      </c>
      <c r="I207" s="12" t="s">
        <v>18</v>
      </c>
    </row>
    <row r="208" spans="1:9" x14ac:dyDescent="0.3">
      <c r="A208" s="5">
        <v>10207</v>
      </c>
      <c r="B208" s="9">
        <v>44768</v>
      </c>
      <c r="C208" s="6">
        <v>2024</v>
      </c>
      <c r="D208" s="6" t="s">
        <v>14</v>
      </c>
      <c r="E208" s="6">
        <v>9</v>
      </c>
      <c r="F208" s="6">
        <v>91.23</v>
      </c>
      <c r="G208" s="6">
        <v>0.17</v>
      </c>
      <c r="H208" s="6" t="s">
        <v>13</v>
      </c>
      <c r="I208" s="10" t="s">
        <v>18</v>
      </c>
    </row>
    <row r="209" spans="1:9" x14ac:dyDescent="0.3">
      <c r="A209" s="7">
        <v>10208</v>
      </c>
      <c r="B209" s="11">
        <v>44769</v>
      </c>
      <c r="C209" s="8">
        <v>2079</v>
      </c>
      <c r="D209" s="8" t="s">
        <v>14</v>
      </c>
      <c r="E209" s="8">
        <v>5</v>
      </c>
      <c r="F209" s="8">
        <v>480.59</v>
      </c>
      <c r="G209" s="8">
        <v>0.12</v>
      </c>
      <c r="H209" s="8" t="s">
        <v>20</v>
      </c>
      <c r="I209" s="12" t="s">
        <v>11</v>
      </c>
    </row>
    <row r="210" spans="1:9" x14ac:dyDescent="0.3">
      <c r="A210" s="5">
        <v>10209</v>
      </c>
      <c r="B210" s="9">
        <v>44770</v>
      </c>
      <c r="C210" s="6">
        <v>2059</v>
      </c>
      <c r="D210" s="6" t="s">
        <v>9</v>
      </c>
      <c r="E210" s="6">
        <v>3</v>
      </c>
      <c r="F210" s="6">
        <v>210.87</v>
      </c>
      <c r="G210" s="6">
        <v>0.05</v>
      </c>
      <c r="H210" s="6" t="s">
        <v>17</v>
      </c>
      <c r="I210" s="10" t="s">
        <v>18</v>
      </c>
    </row>
    <row r="211" spans="1:9" x14ac:dyDescent="0.3">
      <c r="A211" s="7">
        <v>10210</v>
      </c>
      <c r="B211" s="11">
        <v>44771</v>
      </c>
      <c r="C211" s="8">
        <v>2032</v>
      </c>
      <c r="D211" s="8" t="s">
        <v>19</v>
      </c>
      <c r="E211" s="8">
        <v>3</v>
      </c>
      <c r="F211" s="8">
        <v>423.89</v>
      </c>
      <c r="G211" s="8">
        <v>0.08</v>
      </c>
      <c r="H211" s="8" t="s">
        <v>20</v>
      </c>
      <c r="I211" s="12" t="s">
        <v>11</v>
      </c>
    </row>
    <row r="212" spans="1:9" x14ac:dyDescent="0.3">
      <c r="A212" s="5">
        <v>10211</v>
      </c>
      <c r="B212" s="9">
        <v>44772</v>
      </c>
      <c r="C212" s="6">
        <v>2096</v>
      </c>
      <c r="D212" s="6" t="s">
        <v>12</v>
      </c>
      <c r="E212" s="6">
        <v>1</v>
      </c>
      <c r="F212" s="6">
        <v>316.24</v>
      </c>
      <c r="G212" s="6">
        <v>0.28000000000000003</v>
      </c>
      <c r="H212" s="6" t="s">
        <v>20</v>
      </c>
      <c r="I212" s="10" t="s">
        <v>11</v>
      </c>
    </row>
    <row r="213" spans="1:9" x14ac:dyDescent="0.3">
      <c r="A213" s="7">
        <v>10212</v>
      </c>
      <c r="B213" s="11">
        <v>44773</v>
      </c>
      <c r="C213" s="8">
        <v>2088</v>
      </c>
      <c r="D213" s="8" t="s">
        <v>19</v>
      </c>
      <c r="E213" s="8">
        <v>8</v>
      </c>
      <c r="F213" s="8">
        <v>369</v>
      </c>
      <c r="G213" s="8">
        <v>0.2</v>
      </c>
      <c r="H213" s="8" t="s">
        <v>15</v>
      </c>
      <c r="I213" s="12" t="s">
        <v>18</v>
      </c>
    </row>
    <row r="214" spans="1:9" x14ac:dyDescent="0.3">
      <c r="A214" s="5">
        <v>10213</v>
      </c>
      <c r="B214" s="9">
        <v>44774</v>
      </c>
      <c r="C214" s="6">
        <v>2052</v>
      </c>
      <c r="D214" s="6" t="s">
        <v>19</v>
      </c>
      <c r="E214" s="6">
        <v>2</v>
      </c>
      <c r="F214" s="6">
        <v>385.02</v>
      </c>
      <c r="G214" s="6">
        <v>0.15</v>
      </c>
      <c r="H214" s="6" t="s">
        <v>15</v>
      </c>
      <c r="I214" s="10" t="s">
        <v>18</v>
      </c>
    </row>
    <row r="215" spans="1:9" x14ac:dyDescent="0.3">
      <c r="A215" s="7">
        <v>10214</v>
      </c>
      <c r="B215" s="11">
        <v>44775</v>
      </c>
      <c r="C215" s="8">
        <v>2062</v>
      </c>
      <c r="D215" s="8" t="s">
        <v>19</v>
      </c>
      <c r="E215" s="8">
        <v>3</v>
      </c>
      <c r="F215" s="8">
        <v>254.9</v>
      </c>
      <c r="G215" s="8">
        <v>0</v>
      </c>
      <c r="H215" s="8" t="s">
        <v>17</v>
      </c>
      <c r="I215" s="12" t="s">
        <v>11</v>
      </c>
    </row>
    <row r="216" spans="1:9" x14ac:dyDescent="0.3">
      <c r="A216" s="5">
        <v>10215</v>
      </c>
      <c r="B216" s="9">
        <v>44776</v>
      </c>
      <c r="C216" s="6">
        <v>2058</v>
      </c>
      <c r="D216" s="6" t="s">
        <v>16</v>
      </c>
      <c r="E216" s="6">
        <v>8</v>
      </c>
      <c r="F216" s="6">
        <v>273.93</v>
      </c>
      <c r="G216" s="6">
        <v>0.3</v>
      </c>
      <c r="H216" s="6" t="s">
        <v>10</v>
      </c>
      <c r="I216" s="10" t="s">
        <v>11</v>
      </c>
    </row>
    <row r="217" spans="1:9" x14ac:dyDescent="0.3">
      <c r="A217" s="7">
        <v>10216</v>
      </c>
      <c r="B217" s="11">
        <v>44777</v>
      </c>
      <c r="C217" s="8">
        <v>2052</v>
      </c>
      <c r="D217" s="8" t="s">
        <v>14</v>
      </c>
      <c r="E217" s="8">
        <v>8</v>
      </c>
      <c r="F217" s="8">
        <v>259.43</v>
      </c>
      <c r="G217" s="8">
        <v>0.2</v>
      </c>
      <c r="H217" s="8" t="s">
        <v>17</v>
      </c>
      <c r="I217" s="12" t="s">
        <v>11</v>
      </c>
    </row>
    <row r="218" spans="1:9" x14ac:dyDescent="0.3">
      <c r="A218" s="5">
        <v>10217</v>
      </c>
      <c r="B218" s="9">
        <v>44778</v>
      </c>
      <c r="C218" s="6">
        <v>2012</v>
      </c>
      <c r="D218" s="6" t="s">
        <v>19</v>
      </c>
      <c r="E218" s="6">
        <v>4</v>
      </c>
      <c r="F218" s="6">
        <v>296.08999999999997</v>
      </c>
      <c r="G218" s="6">
        <v>0.1</v>
      </c>
      <c r="H218" s="6" t="s">
        <v>10</v>
      </c>
      <c r="I218" s="10" t="s">
        <v>11</v>
      </c>
    </row>
    <row r="219" spans="1:9" x14ac:dyDescent="0.3">
      <c r="A219" s="7">
        <v>10218</v>
      </c>
      <c r="B219" s="11">
        <v>44779</v>
      </c>
      <c r="C219" s="8">
        <v>2039</v>
      </c>
      <c r="D219" s="8" t="s">
        <v>14</v>
      </c>
      <c r="E219" s="8">
        <v>4</v>
      </c>
      <c r="F219" s="8">
        <v>19.55</v>
      </c>
      <c r="G219" s="8">
        <v>0.26</v>
      </c>
      <c r="H219" s="8" t="s">
        <v>20</v>
      </c>
      <c r="I219" s="12" t="s">
        <v>18</v>
      </c>
    </row>
    <row r="220" spans="1:9" x14ac:dyDescent="0.3">
      <c r="A220" s="5">
        <v>10219</v>
      </c>
      <c r="B220" s="9">
        <v>44780</v>
      </c>
      <c r="C220" s="6">
        <v>2002</v>
      </c>
      <c r="D220" s="6" t="s">
        <v>9</v>
      </c>
      <c r="E220" s="6">
        <v>5</v>
      </c>
      <c r="F220" s="6">
        <v>200.78</v>
      </c>
      <c r="G220" s="6">
        <v>0.08</v>
      </c>
      <c r="H220" s="6" t="s">
        <v>13</v>
      </c>
      <c r="I220" s="10" t="s">
        <v>11</v>
      </c>
    </row>
    <row r="221" spans="1:9" x14ac:dyDescent="0.3">
      <c r="A221" s="7">
        <v>10220</v>
      </c>
      <c r="B221" s="11">
        <v>44781</v>
      </c>
      <c r="C221" s="8">
        <v>2003</v>
      </c>
      <c r="D221" s="8" t="s">
        <v>12</v>
      </c>
      <c r="E221" s="8">
        <v>6</v>
      </c>
      <c r="F221" s="8">
        <v>305.06</v>
      </c>
      <c r="G221" s="8">
        <v>0.16</v>
      </c>
      <c r="H221" s="8" t="s">
        <v>17</v>
      </c>
      <c r="I221" s="12" t="s">
        <v>11</v>
      </c>
    </row>
    <row r="222" spans="1:9" x14ac:dyDescent="0.3">
      <c r="A222" s="5">
        <v>10221</v>
      </c>
      <c r="B222" s="9">
        <v>44782</v>
      </c>
      <c r="C222" s="6">
        <v>2056</v>
      </c>
      <c r="D222" s="6" t="s">
        <v>9</v>
      </c>
      <c r="E222" s="6">
        <v>5</v>
      </c>
      <c r="F222" s="6">
        <v>300.87</v>
      </c>
      <c r="G222" s="6">
        <v>0.19</v>
      </c>
      <c r="H222" s="6" t="s">
        <v>17</v>
      </c>
      <c r="I222" s="10" t="s">
        <v>11</v>
      </c>
    </row>
    <row r="223" spans="1:9" x14ac:dyDescent="0.3">
      <c r="A223" s="7">
        <v>10222</v>
      </c>
      <c r="B223" s="11">
        <v>44783</v>
      </c>
      <c r="C223" s="8">
        <v>2081</v>
      </c>
      <c r="D223" s="8" t="s">
        <v>9</v>
      </c>
      <c r="E223" s="8">
        <v>7</v>
      </c>
      <c r="F223" s="8">
        <v>397.51</v>
      </c>
      <c r="G223" s="8">
        <v>7.0000000000000007E-2</v>
      </c>
      <c r="H223" s="8" t="s">
        <v>10</v>
      </c>
      <c r="I223" s="12" t="s">
        <v>18</v>
      </c>
    </row>
    <row r="224" spans="1:9" x14ac:dyDescent="0.3">
      <c r="A224" s="5">
        <v>10223</v>
      </c>
      <c r="B224" s="9">
        <v>44784</v>
      </c>
      <c r="C224" s="6">
        <v>2059</v>
      </c>
      <c r="D224" s="6" t="s">
        <v>16</v>
      </c>
      <c r="E224" s="6">
        <v>2</v>
      </c>
      <c r="F224" s="6">
        <v>329.23</v>
      </c>
      <c r="G224" s="6">
        <v>0.28999999999999998</v>
      </c>
      <c r="H224" s="6" t="s">
        <v>20</v>
      </c>
      <c r="I224" s="10" t="s">
        <v>18</v>
      </c>
    </row>
    <row r="225" spans="1:9" x14ac:dyDescent="0.3">
      <c r="A225" s="7">
        <v>10224</v>
      </c>
      <c r="B225" s="11">
        <v>44785</v>
      </c>
      <c r="C225" s="8">
        <v>2002</v>
      </c>
      <c r="D225" s="8" t="s">
        <v>12</v>
      </c>
      <c r="E225" s="8">
        <v>7</v>
      </c>
      <c r="F225" s="8">
        <v>496.11</v>
      </c>
      <c r="G225" s="8">
        <v>0.22</v>
      </c>
      <c r="H225" s="8" t="s">
        <v>20</v>
      </c>
      <c r="I225" s="12" t="s">
        <v>11</v>
      </c>
    </row>
    <row r="226" spans="1:9" x14ac:dyDescent="0.3">
      <c r="A226" s="5">
        <v>10225</v>
      </c>
      <c r="B226" s="9">
        <v>44786</v>
      </c>
      <c r="C226" s="6">
        <v>2002</v>
      </c>
      <c r="D226" s="6" t="s">
        <v>9</v>
      </c>
      <c r="E226" s="6">
        <v>7</v>
      </c>
      <c r="F226" s="6">
        <v>145.51</v>
      </c>
      <c r="G226" s="6">
        <v>0.17</v>
      </c>
      <c r="H226" s="6" t="s">
        <v>10</v>
      </c>
      <c r="I226" s="10" t="s">
        <v>18</v>
      </c>
    </row>
    <row r="227" spans="1:9" x14ac:dyDescent="0.3">
      <c r="A227" s="7">
        <v>10226</v>
      </c>
      <c r="B227" s="11">
        <v>44787</v>
      </c>
      <c r="C227" s="8">
        <v>2092</v>
      </c>
      <c r="D227" s="8" t="s">
        <v>9</v>
      </c>
      <c r="E227" s="8">
        <v>1</v>
      </c>
      <c r="F227" s="8">
        <v>182.78</v>
      </c>
      <c r="G227" s="8">
        <v>0.05</v>
      </c>
      <c r="H227" s="8" t="s">
        <v>20</v>
      </c>
      <c r="I227" s="12" t="s">
        <v>18</v>
      </c>
    </row>
    <row r="228" spans="1:9" x14ac:dyDescent="0.3">
      <c r="A228" s="5">
        <v>10227</v>
      </c>
      <c r="B228" s="9">
        <v>44788</v>
      </c>
      <c r="C228" s="6">
        <v>2054</v>
      </c>
      <c r="D228" s="6" t="s">
        <v>12</v>
      </c>
      <c r="E228" s="6">
        <v>7</v>
      </c>
      <c r="F228" s="6">
        <v>195</v>
      </c>
      <c r="G228" s="6">
        <v>0.02</v>
      </c>
      <c r="H228" s="6" t="s">
        <v>15</v>
      </c>
      <c r="I228" s="10" t="s">
        <v>18</v>
      </c>
    </row>
    <row r="229" spans="1:9" x14ac:dyDescent="0.3">
      <c r="A229" s="7">
        <v>10228</v>
      </c>
      <c r="B229" s="11">
        <v>44789</v>
      </c>
      <c r="C229" s="8">
        <v>2087</v>
      </c>
      <c r="D229" s="8" t="s">
        <v>12</v>
      </c>
      <c r="E229" s="8">
        <v>5</v>
      </c>
      <c r="F229" s="8">
        <v>235.58</v>
      </c>
      <c r="G229" s="8">
        <v>0.1</v>
      </c>
      <c r="H229" s="8" t="s">
        <v>13</v>
      </c>
      <c r="I229" s="12" t="s">
        <v>11</v>
      </c>
    </row>
    <row r="230" spans="1:9" x14ac:dyDescent="0.3">
      <c r="A230" s="5">
        <v>10229</v>
      </c>
      <c r="B230" s="9">
        <v>44790</v>
      </c>
      <c r="C230" s="6">
        <v>2096</v>
      </c>
      <c r="D230" s="6" t="s">
        <v>9</v>
      </c>
      <c r="E230" s="6">
        <v>3</v>
      </c>
      <c r="F230" s="6">
        <v>418.82</v>
      </c>
      <c r="G230" s="6">
        <v>0.23</v>
      </c>
      <c r="H230" s="6" t="s">
        <v>17</v>
      </c>
      <c r="I230" s="10" t="s">
        <v>11</v>
      </c>
    </row>
    <row r="231" spans="1:9" x14ac:dyDescent="0.3">
      <c r="A231" s="7">
        <v>10230</v>
      </c>
      <c r="B231" s="11">
        <v>44791</v>
      </c>
      <c r="C231" s="8">
        <v>2097</v>
      </c>
      <c r="D231" s="8" t="s">
        <v>12</v>
      </c>
      <c r="E231" s="8">
        <v>3</v>
      </c>
      <c r="F231" s="8">
        <v>121.72</v>
      </c>
      <c r="G231" s="8">
        <v>0.08</v>
      </c>
      <c r="H231" s="8" t="s">
        <v>13</v>
      </c>
      <c r="I231" s="12" t="s">
        <v>18</v>
      </c>
    </row>
    <row r="232" spans="1:9" x14ac:dyDescent="0.3">
      <c r="A232" s="5">
        <v>10231</v>
      </c>
      <c r="B232" s="9">
        <v>44792</v>
      </c>
      <c r="C232" s="6">
        <v>2001</v>
      </c>
      <c r="D232" s="6" t="s">
        <v>9</v>
      </c>
      <c r="E232" s="6">
        <v>4</v>
      </c>
      <c r="F232" s="6">
        <v>389.12</v>
      </c>
      <c r="G232" s="6">
        <v>0.16</v>
      </c>
      <c r="H232" s="6" t="s">
        <v>17</v>
      </c>
      <c r="I232" s="10" t="s">
        <v>11</v>
      </c>
    </row>
    <row r="233" spans="1:9" x14ac:dyDescent="0.3">
      <c r="A233" s="7">
        <v>10232</v>
      </c>
      <c r="B233" s="11">
        <v>44793</v>
      </c>
      <c r="C233" s="8">
        <v>2019</v>
      </c>
      <c r="D233" s="8" t="s">
        <v>9</v>
      </c>
      <c r="E233" s="8">
        <v>2</v>
      </c>
      <c r="F233" s="8">
        <v>205.63</v>
      </c>
      <c r="G233" s="8">
        <v>0.22</v>
      </c>
      <c r="H233" s="8" t="s">
        <v>15</v>
      </c>
      <c r="I233" s="12" t="s">
        <v>11</v>
      </c>
    </row>
    <row r="234" spans="1:9" x14ac:dyDescent="0.3">
      <c r="A234" s="5">
        <v>10233</v>
      </c>
      <c r="B234" s="9">
        <v>44794</v>
      </c>
      <c r="C234" s="6">
        <v>2002</v>
      </c>
      <c r="D234" s="6" t="s">
        <v>16</v>
      </c>
      <c r="E234" s="6">
        <v>2</v>
      </c>
      <c r="F234" s="6">
        <v>302.92</v>
      </c>
      <c r="G234" s="6">
        <v>0.03</v>
      </c>
      <c r="H234" s="6" t="s">
        <v>20</v>
      </c>
      <c r="I234" s="10" t="s">
        <v>18</v>
      </c>
    </row>
    <row r="235" spans="1:9" x14ac:dyDescent="0.3">
      <c r="A235" s="7">
        <v>10234</v>
      </c>
      <c r="B235" s="11">
        <v>44795</v>
      </c>
      <c r="C235" s="8">
        <v>2053</v>
      </c>
      <c r="D235" s="8" t="s">
        <v>19</v>
      </c>
      <c r="E235" s="8">
        <v>1</v>
      </c>
      <c r="F235" s="8">
        <v>318.11</v>
      </c>
      <c r="G235" s="8">
        <v>0.21</v>
      </c>
      <c r="H235" s="8" t="s">
        <v>10</v>
      </c>
      <c r="I235" s="12" t="s">
        <v>18</v>
      </c>
    </row>
    <row r="236" spans="1:9" x14ac:dyDescent="0.3">
      <c r="A236" s="5">
        <v>10235</v>
      </c>
      <c r="B236" s="9">
        <v>44796</v>
      </c>
      <c r="C236" s="6">
        <v>2044</v>
      </c>
      <c r="D236" s="6" t="s">
        <v>9</v>
      </c>
      <c r="E236" s="6">
        <v>5</v>
      </c>
      <c r="F236" s="6">
        <v>189.56</v>
      </c>
      <c r="G236" s="6">
        <v>0.03</v>
      </c>
      <c r="H236" s="6" t="s">
        <v>15</v>
      </c>
      <c r="I236" s="10" t="s">
        <v>11</v>
      </c>
    </row>
    <row r="237" spans="1:9" x14ac:dyDescent="0.3">
      <c r="A237" s="7">
        <v>10236</v>
      </c>
      <c r="B237" s="11">
        <v>44797</v>
      </c>
      <c r="C237" s="8">
        <v>2090</v>
      </c>
      <c r="D237" s="8" t="s">
        <v>14</v>
      </c>
      <c r="E237" s="8">
        <v>4</v>
      </c>
      <c r="F237" s="8">
        <v>258.74</v>
      </c>
      <c r="G237" s="8">
        <v>0.28999999999999998</v>
      </c>
      <c r="H237" s="8" t="s">
        <v>13</v>
      </c>
      <c r="I237" s="12" t="s">
        <v>18</v>
      </c>
    </row>
    <row r="238" spans="1:9" x14ac:dyDescent="0.3">
      <c r="A238" s="5">
        <v>10237</v>
      </c>
      <c r="B238" s="9">
        <v>44798</v>
      </c>
      <c r="C238" s="6">
        <v>2032</v>
      </c>
      <c r="D238" s="6" t="s">
        <v>19</v>
      </c>
      <c r="E238" s="6">
        <v>2</v>
      </c>
      <c r="F238" s="6">
        <v>209.45</v>
      </c>
      <c r="G238" s="6">
        <v>0.15</v>
      </c>
      <c r="H238" s="6" t="s">
        <v>10</v>
      </c>
      <c r="I238" s="10" t="s">
        <v>11</v>
      </c>
    </row>
    <row r="239" spans="1:9" x14ac:dyDescent="0.3">
      <c r="A239" s="7">
        <v>10238</v>
      </c>
      <c r="B239" s="11">
        <v>44799</v>
      </c>
      <c r="C239" s="8">
        <v>2070</v>
      </c>
      <c r="D239" s="8" t="s">
        <v>19</v>
      </c>
      <c r="E239" s="8">
        <v>3</v>
      </c>
      <c r="F239" s="8">
        <v>39.22</v>
      </c>
      <c r="G239" s="8">
        <v>0.05</v>
      </c>
      <c r="H239" s="8" t="s">
        <v>20</v>
      </c>
      <c r="I239" s="12" t="s">
        <v>11</v>
      </c>
    </row>
    <row r="240" spans="1:9" x14ac:dyDescent="0.3">
      <c r="A240" s="5">
        <v>10239</v>
      </c>
      <c r="B240" s="9">
        <v>44800</v>
      </c>
      <c r="C240" s="6">
        <v>2032</v>
      </c>
      <c r="D240" s="6" t="s">
        <v>19</v>
      </c>
      <c r="E240" s="6">
        <v>7</v>
      </c>
      <c r="F240" s="6">
        <v>221.4</v>
      </c>
      <c r="G240" s="6">
        <v>0.1</v>
      </c>
      <c r="H240" s="6" t="s">
        <v>15</v>
      </c>
      <c r="I240" s="10" t="s">
        <v>18</v>
      </c>
    </row>
    <row r="241" spans="1:9" x14ac:dyDescent="0.3">
      <c r="A241" s="7">
        <v>10240</v>
      </c>
      <c r="B241" s="11">
        <v>44801</v>
      </c>
      <c r="C241" s="8">
        <v>2068</v>
      </c>
      <c r="D241" s="8" t="s">
        <v>16</v>
      </c>
      <c r="E241" s="8">
        <v>7</v>
      </c>
      <c r="F241" s="8">
        <v>53.21</v>
      </c>
      <c r="G241" s="8">
        <v>0.12</v>
      </c>
      <c r="H241" s="8" t="s">
        <v>10</v>
      </c>
      <c r="I241" s="12" t="s">
        <v>11</v>
      </c>
    </row>
    <row r="242" spans="1:9" x14ac:dyDescent="0.3">
      <c r="A242" s="5">
        <v>10241</v>
      </c>
      <c r="B242" s="9">
        <v>44802</v>
      </c>
      <c r="C242" s="6">
        <v>2055</v>
      </c>
      <c r="D242" s="6" t="s">
        <v>9</v>
      </c>
      <c r="E242" s="6">
        <v>4</v>
      </c>
      <c r="F242" s="6">
        <v>205.49</v>
      </c>
      <c r="G242" s="6">
        <v>0.23</v>
      </c>
      <c r="H242" s="6" t="s">
        <v>15</v>
      </c>
      <c r="I242" s="10" t="s">
        <v>11</v>
      </c>
    </row>
    <row r="243" spans="1:9" x14ac:dyDescent="0.3">
      <c r="A243" s="7">
        <v>10242</v>
      </c>
      <c r="B243" s="11">
        <v>44803</v>
      </c>
      <c r="C243" s="8">
        <v>2075</v>
      </c>
      <c r="D243" s="8" t="s">
        <v>16</v>
      </c>
      <c r="E243" s="8">
        <v>5</v>
      </c>
      <c r="F243" s="8">
        <v>298.49</v>
      </c>
      <c r="G243" s="8">
        <v>0.22</v>
      </c>
      <c r="H243" s="8" t="s">
        <v>15</v>
      </c>
      <c r="I243" s="12" t="s">
        <v>18</v>
      </c>
    </row>
    <row r="244" spans="1:9" x14ac:dyDescent="0.3">
      <c r="A244" s="5">
        <v>10243</v>
      </c>
      <c r="B244" s="9">
        <v>44804</v>
      </c>
      <c r="C244" s="6">
        <v>2056</v>
      </c>
      <c r="D244" s="6" t="s">
        <v>9</v>
      </c>
      <c r="E244" s="6">
        <v>5</v>
      </c>
      <c r="F244" s="6">
        <v>291.81</v>
      </c>
      <c r="G244" s="6">
        <v>0.18</v>
      </c>
      <c r="H244" s="6" t="s">
        <v>20</v>
      </c>
      <c r="I244" s="10" t="s">
        <v>18</v>
      </c>
    </row>
    <row r="245" spans="1:9" x14ac:dyDescent="0.3">
      <c r="A245" s="7">
        <v>10244</v>
      </c>
      <c r="B245" s="11">
        <v>44805</v>
      </c>
      <c r="C245" s="8">
        <v>2017</v>
      </c>
      <c r="D245" s="8" t="s">
        <v>16</v>
      </c>
      <c r="E245" s="8">
        <v>6</v>
      </c>
      <c r="F245" s="8">
        <v>333</v>
      </c>
      <c r="G245" s="8">
        <v>0.03</v>
      </c>
      <c r="H245" s="8" t="s">
        <v>17</v>
      </c>
      <c r="I245" s="12" t="s">
        <v>18</v>
      </c>
    </row>
    <row r="246" spans="1:9" x14ac:dyDescent="0.3">
      <c r="A246" s="5">
        <v>10245</v>
      </c>
      <c r="B246" s="9">
        <v>44806</v>
      </c>
      <c r="C246" s="6">
        <v>2038</v>
      </c>
      <c r="D246" s="6" t="s">
        <v>16</v>
      </c>
      <c r="E246" s="6">
        <v>9</v>
      </c>
      <c r="F246" s="6">
        <v>52.15</v>
      </c>
      <c r="G246" s="6">
        <v>0.05</v>
      </c>
      <c r="H246" s="6" t="s">
        <v>10</v>
      </c>
      <c r="I246" s="10" t="s">
        <v>11</v>
      </c>
    </row>
    <row r="247" spans="1:9" x14ac:dyDescent="0.3">
      <c r="A247" s="7">
        <v>10246</v>
      </c>
      <c r="B247" s="11">
        <v>44807</v>
      </c>
      <c r="C247" s="8">
        <v>2024</v>
      </c>
      <c r="D247" s="8" t="s">
        <v>14</v>
      </c>
      <c r="E247" s="8">
        <v>2</v>
      </c>
      <c r="F247" s="8">
        <v>327.8</v>
      </c>
      <c r="G247" s="8">
        <v>0.03</v>
      </c>
      <c r="H247" s="8" t="s">
        <v>20</v>
      </c>
      <c r="I247" s="12" t="s">
        <v>18</v>
      </c>
    </row>
    <row r="248" spans="1:9" x14ac:dyDescent="0.3">
      <c r="A248" s="5">
        <v>10247</v>
      </c>
      <c r="B248" s="9">
        <v>44808</v>
      </c>
      <c r="C248" s="6">
        <v>2069</v>
      </c>
      <c r="D248" s="6" t="s">
        <v>16</v>
      </c>
      <c r="E248" s="6">
        <v>5</v>
      </c>
      <c r="F248" s="6">
        <v>159.51</v>
      </c>
      <c r="G248" s="6">
        <v>0.17</v>
      </c>
      <c r="H248" s="6" t="s">
        <v>15</v>
      </c>
      <c r="I248" s="10" t="s">
        <v>18</v>
      </c>
    </row>
    <row r="249" spans="1:9" x14ac:dyDescent="0.3">
      <c r="A249" s="7">
        <v>10248</v>
      </c>
      <c r="B249" s="11">
        <v>44809</v>
      </c>
      <c r="C249" s="8">
        <v>2098</v>
      </c>
      <c r="D249" s="8" t="s">
        <v>12</v>
      </c>
      <c r="E249" s="8">
        <v>3</v>
      </c>
      <c r="F249" s="8">
        <v>202.53</v>
      </c>
      <c r="G249" s="8">
        <v>0.26</v>
      </c>
      <c r="H249" s="8" t="s">
        <v>20</v>
      </c>
      <c r="I249" s="12" t="s">
        <v>18</v>
      </c>
    </row>
    <row r="250" spans="1:9" x14ac:dyDescent="0.3">
      <c r="A250" s="5">
        <v>10249</v>
      </c>
      <c r="B250" s="9">
        <v>44810</v>
      </c>
      <c r="C250" s="6">
        <v>2070</v>
      </c>
      <c r="D250" s="6" t="s">
        <v>14</v>
      </c>
      <c r="E250" s="6">
        <v>4</v>
      </c>
      <c r="F250" s="6">
        <v>429.7</v>
      </c>
      <c r="G250" s="6">
        <v>0.13</v>
      </c>
      <c r="H250" s="6" t="s">
        <v>17</v>
      </c>
      <c r="I250" s="10" t="s">
        <v>18</v>
      </c>
    </row>
    <row r="251" spans="1:9" x14ac:dyDescent="0.3">
      <c r="A251" s="7">
        <v>10250</v>
      </c>
      <c r="B251" s="11">
        <v>44811</v>
      </c>
      <c r="C251" s="8">
        <v>2086</v>
      </c>
      <c r="D251" s="8" t="s">
        <v>16</v>
      </c>
      <c r="E251" s="8">
        <v>6</v>
      </c>
      <c r="F251" s="8">
        <v>9.4700000000000006</v>
      </c>
      <c r="G251" s="8">
        <v>0.05</v>
      </c>
      <c r="H251" s="8" t="s">
        <v>10</v>
      </c>
      <c r="I251" s="12" t="s">
        <v>11</v>
      </c>
    </row>
    <row r="252" spans="1:9" x14ac:dyDescent="0.3">
      <c r="A252" s="5">
        <v>10251</v>
      </c>
      <c r="B252" s="9">
        <v>44812</v>
      </c>
      <c r="C252" s="6">
        <v>2011</v>
      </c>
      <c r="D252" s="6" t="s">
        <v>19</v>
      </c>
      <c r="E252" s="6">
        <v>8</v>
      </c>
      <c r="F252" s="6">
        <v>296.26</v>
      </c>
      <c r="G252" s="6">
        <v>0.17</v>
      </c>
      <c r="H252" s="6" t="s">
        <v>17</v>
      </c>
      <c r="I252" s="10" t="s">
        <v>11</v>
      </c>
    </row>
    <row r="253" spans="1:9" x14ac:dyDescent="0.3">
      <c r="A253" s="7">
        <v>10252</v>
      </c>
      <c r="B253" s="11">
        <v>44813</v>
      </c>
      <c r="C253" s="8">
        <v>2016</v>
      </c>
      <c r="D253" s="8" t="s">
        <v>12</v>
      </c>
      <c r="E253" s="8">
        <v>1</v>
      </c>
      <c r="F253" s="8">
        <v>301.36</v>
      </c>
      <c r="G253" s="8">
        <v>0.24</v>
      </c>
      <c r="H253" s="8" t="s">
        <v>13</v>
      </c>
      <c r="I253" s="12" t="s">
        <v>18</v>
      </c>
    </row>
    <row r="254" spans="1:9" x14ac:dyDescent="0.3">
      <c r="A254" s="5">
        <v>10253</v>
      </c>
      <c r="B254" s="9">
        <v>44814</v>
      </c>
      <c r="C254" s="6">
        <v>2097</v>
      </c>
      <c r="D254" s="6" t="s">
        <v>12</v>
      </c>
      <c r="E254" s="6">
        <v>8</v>
      </c>
      <c r="F254" s="6">
        <v>201.35</v>
      </c>
      <c r="G254" s="6">
        <v>0.22</v>
      </c>
      <c r="H254" s="6" t="s">
        <v>10</v>
      </c>
      <c r="I254" s="10" t="s">
        <v>11</v>
      </c>
    </row>
    <row r="255" spans="1:9" x14ac:dyDescent="0.3">
      <c r="A255" s="7">
        <v>10254</v>
      </c>
      <c r="B255" s="11">
        <v>44815</v>
      </c>
      <c r="C255" s="8">
        <v>2073</v>
      </c>
      <c r="D255" s="8" t="s">
        <v>12</v>
      </c>
      <c r="E255" s="8">
        <v>7</v>
      </c>
      <c r="F255" s="8">
        <v>122.33</v>
      </c>
      <c r="G255" s="8">
        <v>0.26</v>
      </c>
      <c r="H255" s="8" t="s">
        <v>17</v>
      </c>
      <c r="I255" s="12" t="s">
        <v>18</v>
      </c>
    </row>
    <row r="256" spans="1:9" x14ac:dyDescent="0.3">
      <c r="A256" s="5">
        <v>10255</v>
      </c>
      <c r="B256" s="9">
        <v>44816</v>
      </c>
      <c r="C256" s="6">
        <v>2059</v>
      </c>
      <c r="D256" s="6" t="s">
        <v>14</v>
      </c>
      <c r="E256" s="6">
        <v>1</v>
      </c>
      <c r="F256" s="6">
        <v>121.16</v>
      </c>
      <c r="G256" s="6">
        <v>0.08</v>
      </c>
      <c r="H256" s="6" t="s">
        <v>15</v>
      </c>
      <c r="I256" s="10" t="s">
        <v>18</v>
      </c>
    </row>
    <row r="257" spans="1:9" x14ac:dyDescent="0.3">
      <c r="A257" s="7">
        <v>10256</v>
      </c>
      <c r="B257" s="11">
        <v>44817</v>
      </c>
      <c r="C257" s="8">
        <v>2070</v>
      </c>
      <c r="D257" s="8" t="s">
        <v>16</v>
      </c>
      <c r="E257" s="8">
        <v>2</v>
      </c>
      <c r="F257" s="8">
        <v>442.44</v>
      </c>
      <c r="G257" s="8">
        <v>0.06</v>
      </c>
      <c r="H257" s="8" t="s">
        <v>10</v>
      </c>
      <c r="I257" s="12" t="s">
        <v>11</v>
      </c>
    </row>
    <row r="258" spans="1:9" x14ac:dyDescent="0.3">
      <c r="A258" s="5">
        <v>10257</v>
      </c>
      <c r="B258" s="9">
        <v>44818</v>
      </c>
      <c r="C258" s="6">
        <v>2080</v>
      </c>
      <c r="D258" s="6" t="s">
        <v>16</v>
      </c>
      <c r="E258" s="6">
        <v>3</v>
      </c>
      <c r="F258" s="6">
        <v>223.8</v>
      </c>
      <c r="G258" s="6">
        <v>0.26</v>
      </c>
      <c r="H258" s="6" t="s">
        <v>10</v>
      </c>
      <c r="I258" s="10" t="s">
        <v>11</v>
      </c>
    </row>
    <row r="259" spans="1:9" x14ac:dyDescent="0.3">
      <c r="A259" s="7">
        <v>10258</v>
      </c>
      <c r="B259" s="11">
        <v>44819</v>
      </c>
      <c r="C259" s="8">
        <v>2093</v>
      </c>
      <c r="D259" s="8" t="s">
        <v>19</v>
      </c>
      <c r="E259" s="8">
        <v>1</v>
      </c>
      <c r="F259" s="8">
        <v>168.79</v>
      </c>
      <c r="G259" s="8">
        <v>0.2</v>
      </c>
      <c r="H259" s="8" t="s">
        <v>20</v>
      </c>
      <c r="I259" s="12" t="s">
        <v>18</v>
      </c>
    </row>
    <row r="260" spans="1:9" x14ac:dyDescent="0.3">
      <c r="A260" s="5">
        <v>10259</v>
      </c>
      <c r="B260" s="9">
        <v>44820</v>
      </c>
      <c r="C260" s="6">
        <v>2003</v>
      </c>
      <c r="D260" s="6" t="s">
        <v>19</v>
      </c>
      <c r="E260" s="6">
        <v>9</v>
      </c>
      <c r="F260" s="6">
        <v>227.14</v>
      </c>
      <c r="G260" s="6">
        <v>0.09</v>
      </c>
      <c r="H260" s="6" t="s">
        <v>15</v>
      </c>
      <c r="I260" s="10" t="s">
        <v>18</v>
      </c>
    </row>
    <row r="261" spans="1:9" x14ac:dyDescent="0.3">
      <c r="A261" s="7">
        <v>10260</v>
      </c>
      <c r="B261" s="11">
        <v>44821</v>
      </c>
      <c r="C261" s="8">
        <v>2020</v>
      </c>
      <c r="D261" s="8" t="s">
        <v>12</v>
      </c>
      <c r="E261" s="8">
        <v>8</v>
      </c>
      <c r="F261" s="8">
        <v>336.35</v>
      </c>
      <c r="G261" s="8">
        <v>0.22</v>
      </c>
      <c r="H261" s="8" t="s">
        <v>13</v>
      </c>
      <c r="I261" s="12" t="s">
        <v>11</v>
      </c>
    </row>
    <row r="262" spans="1:9" x14ac:dyDescent="0.3">
      <c r="A262" s="5">
        <v>10261</v>
      </c>
      <c r="B262" s="9">
        <v>44822</v>
      </c>
      <c r="C262" s="6">
        <v>2059</v>
      </c>
      <c r="D262" s="6" t="s">
        <v>19</v>
      </c>
      <c r="E262" s="6">
        <v>2</v>
      </c>
      <c r="F262" s="6">
        <v>77.150000000000006</v>
      </c>
      <c r="G262" s="6">
        <v>0.24</v>
      </c>
      <c r="H262" s="6" t="s">
        <v>17</v>
      </c>
      <c r="I262" s="10" t="s">
        <v>18</v>
      </c>
    </row>
    <row r="263" spans="1:9" x14ac:dyDescent="0.3">
      <c r="A263" s="7">
        <v>10262</v>
      </c>
      <c r="B263" s="11">
        <v>44823</v>
      </c>
      <c r="C263" s="8">
        <v>2036</v>
      </c>
      <c r="D263" s="8" t="s">
        <v>14</v>
      </c>
      <c r="E263" s="8">
        <v>9</v>
      </c>
      <c r="F263" s="8">
        <v>227.47</v>
      </c>
      <c r="G263" s="8">
        <v>0.18</v>
      </c>
      <c r="H263" s="8" t="s">
        <v>20</v>
      </c>
      <c r="I263" s="12" t="s">
        <v>11</v>
      </c>
    </row>
    <row r="264" spans="1:9" x14ac:dyDescent="0.3">
      <c r="A264" s="5">
        <v>10263</v>
      </c>
      <c r="B264" s="9">
        <v>44824</v>
      </c>
      <c r="C264" s="6">
        <v>2019</v>
      </c>
      <c r="D264" s="6" t="s">
        <v>16</v>
      </c>
      <c r="E264" s="6">
        <v>7</v>
      </c>
      <c r="F264" s="6">
        <v>296</v>
      </c>
      <c r="G264" s="6">
        <v>0.21</v>
      </c>
      <c r="H264" s="6" t="s">
        <v>17</v>
      </c>
      <c r="I264" s="10" t="s">
        <v>18</v>
      </c>
    </row>
    <row r="265" spans="1:9" x14ac:dyDescent="0.3">
      <c r="A265" s="7">
        <v>10264</v>
      </c>
      <c r="B265" s="11">
        <v>44825</v>
      </c>
      <c r="C265" s="8">
        <v>2090</v>
      </c>
      <c r="D265" s="8" t="s">
        <v>12</v>
      </c>
      <c r="E265" s="8">
        <v>9</v>
      </c>
      <c r="F265" s="8">
        <v>474.55</v>
      </c>
      <c r="G265" s="8">
        <v>0.11</v>
      </c>
      <c r="H265" s="8" t="s">
        <v>13</v>
      </c>
      <c r="I265" s="12" t="s">
        <v>18</v>
      </c>
    </row>
    <row r="266" spans="1:9" x14ac:dyDescent="0.3">
      <c r="A266" s="5">
        <v>10265</v>
      </c>
      <c r="B266" s="9">
        <v>44826</v>
      </c>
      <c r="C266" s="6">
        <v>2067</v>
      </c>
      <c r="D266" s="6" t="s">
        <v>19</v>
      </c>
      <c r="E266" s="6">
        <v>6</v>
      </c>
      <c r="F266" s="6">
        <v>130</v>
      </c>
      <c r="G266" s="6">
        <v>0.16</v>
      </c>
      <c r="H266" s="6" t="s">
        <v>13</v>
      </c>
      <c r="I266" s="10" t="s">
        <v>11</v>
      </c>
    </row>
    <row r="267" spans="1:9" x14ac:dyDescent="0.3">
      <c r="A267" s="7">
        <v>10266</v>
      </c>
      <c r="B267" s="11">
        <v>44827</v>
      </c>
      <c r="C267" s="8">
        <v>2019</v>
      </c>
      <c r="D267" s="8" t="s">
        <v>14</v>
      </c>
      <c r="E267" s="8">
        <v>6</v>
      </c>
      <c r="F267" s="8">
        <v>182.83</v>
      </c>
      <c r="G267" s="8">
        <v>0.16</v>
      </c>
      <c r="H267" s="8" t="s">
        <v>10</v>
      </c>
      <c r="I267" s="12" t="s">
        <v>11</v>
      </c>
    </row>
    <row r="268" spans="1:9" x14ac:dyDescent="0.3">
      <c r="A268" s="5">
        <v>10267</v>
      </c>
      <c r="B268" s="9">
        <v>44828</v>
      </c>
      <c r="C268" s="6">
        <v>2020</v>
      </c>
      <c r="D268" s="6" t="s">
        <v>14</v>
      </c>
      <c r="E268" s="6">
        <v>4</v>
      </c>
      <c r="F268" s="6">
        <v>192.78</v>
      </c>
      <c r="G268" s="6">
        <v>0.25</v>
      </c>
      <c r="H268" s="6" t="s">
        <v>13</v>
      </c>
      <c r="I268" s="10" t="s">
        <v>11</v>
      </c>
    </row>
    <row r="269" spans="1:9" x14ac:dyDescent="0.3">
      <c r="A269" s="7">
        <v>10268</v>
      </c>
      <c r="B269" s="11">
        <v>44829</v>
      </c>
      <c r="C269" s="8">
        <v>2096</v>
      </c>
      <c r="D269" s="8" t="s">
        <v>19</v>
      </c>
      <c r="E269" s="8">
        <v>2</v>
      </c>
      <c r="F269" s="8">
        <v>304.74</v>
      </c>
      <c r="G269" s="8">
        <v>0.25</v>
      </c>
      <c r="H269" s="8" t="s">
        <v>17</v>
      </c>
      <c r="I269" s="12" t="s">
        <v>11</v>
      </c>
    </row>
    <row r="270" spans="1:9" x14ac:dyDescent="0.3">
      <c r="A270" s="5">
        <v>10269</v>
      </c>
      <c r="B270" s="9">
        <v>44830</v>
      </c>
      <c r="C270" s="6">
        <v>2071</v>
      </c>
      <c r="D270" s="6" t="s">
        <v>16</v>
      </c>
      <c r="E270" s="6">
        <v>7</v>
      </c>
      <c r="F270" s="6">
        <v>181.58</v>
      </c>
      <c r="G270" s="6">
        <v>0.25</v>
      </c>
      <c r="H270" s="6" t="s">
        <v>15</v>
      </c>
      <c r="I270" s="10" t="s">
        <v>11</v>
      </c>
    </row>
    <row r="271" spans="1:9" x14ac:dyDescent="0.3">
      <c r="A271" s="7">
        <v>10270</v>
      </c>
      <c r="B271" s="11">
        <v>44831</v>
      </c>
      <c r="C271" s="8">
        <v>2052</v>
      </c>
      <c r="D271" s="8" t="s">
        <v>19</v>
      </c>
      <c r="E271" s="8">
        <v>5</v>
      </c>
      <c r="F271" s="8">
        <v>269.08999999999997</v>
      </c>
      <c r="G271" s="8">
        <v>0</v>
      </c>
      <c r="H271" s="8" t="s">
        <v>15</v>
      </c>
      <c r="I271" s="12" t="s">
        <v>11</v>
      </c>
    </row>
    <row r="272" spans="1:9" x14ac:dyDescent="0.3">
      <c r="A272" s="5">
        <v>10271</v>
      </c>
      <c r="B272" s="9">
        <v>44832</v>
      </c>
      <c r="C272" s="6">
        <v>2033</v>
      </c>
      <c r="D272" s="6" t="s">
        <v>12</v>
      </c>
      <c r="E272" s="6">
        <v>6</v>
      </c>
      <c r="F272" s="6">
        <v>391.99</v>
      </c>
      <c r="G272" s="6">
        <v>0.22</v>
      </c>
      <c r="H272" s="6" t="s">
        <v>10</v>
      </c>
      <c r="I272" s="10" t="s">
        <v>11</v>
      </c>
    </row>
    <row r="273" spans="1:9" x14ac:dyDescent="0.3">
      <c r="A273" s="7">
        <v>10272</v>
      </c>
      <c r="B273" s="11">
        <v>44833</v>
      </c>
      <c r="C273" s="8">
        <v>2040</v>
      </c>
      <c r="D273" s="8" t="s">
        <v>19</v>
      </c>
      <c r="E273" s="8">
        <v>2</v>
      </c>
      <c r="F273" s="8">
        <v>354.17</v>
      </c>
      <c r="G273" s="8">
        <v>0.23</v>
      </c>
      <c r="H273" s="8" t="s">
        <v>17</v>
      </c>
      <c r="I273" s="12" t="s">
        <v>18</v>
      </c>
    </row>
    <row r="274" spans="1:9" x14ac:dyDescent="0.3">
      <c r="A274" s="5">
        <v>10273</v>
      </c>
      <c r="B274" s="9">
        <v>44834</v>
      </c>
      <c r="C274" s="6">
        <v>2039</v>
      </c>
      <c r="D274" s="6" t="s">
        <v>14</v>
      </c>
      <c r="E274" s="6">
        <v>5</v>
      </c>
      <c r="F274" s="6">
        <v>225.95</v>
      </c>
      <c r="G274" s="6">
        <v>0.2</v>
      </c>
      <c r="H274" s="6" t="s">
        <v>17</v>
      </c>
      <c r="I274" s="10" t="s">
        <v>18</v>
      </c>
    </row>
    <row r="275" spans="1:9" x14ac:dyDescent="0.3">
      <c r="A275" s="7">
        <v>10274</v>
      </c>
      <c r="B275" s="11">
        <v>44835</v>
      </c>
      <c r="C275" s="8">
        <v>2082</v>
      </c>
      <c r="D275" s="8" t="s">
        <v>19</v>
      </c>
      <c r="E275" s="8">
        <v>4</v>
      </c>
      <c r="F275" s="8">
        <v>432.79</v>
      </c>
      <c r="G275" s="8">
        <v>0.23</v>
      </c>
      <c r="H275" s="8" t="s">
        <v>13</v>
      </c>
      <c r="I275" s="12" t="s">
        <v>18</v>
      </c>
    </row>
    <row r="276" spans="1:9" x14ac:dyDescent="0.3">
      <c r="A276" s="5">
        <v>10275</v>
      </c>
      <c r="B276" s="9">
        <v>44836</v>
      </c>
      <c r="C276" s="6">
        <v>2001</v>
      </c>
      <c r="D276" s="6" t="s">
        <v>16</v>
      </c>
      <c r="E276" s="6">
        <v>9</v>
      </c>
      <c r="F276" s="6">
        <v>281.27999999999997</v>
      </c>
      <c r="G276" s="6">
        <v>0.25</v>
      </c>
      <c r="H276" s="6" t="s">
        <v>17</v>
      </c>
      <c r="I276" s="10" t="s">
        <v>11</v>
      </c>
    </row>
    <row r="277" spans="1:9" x14ac:dyDescent="0.3">
      <c r="A277" s="7">
        <v>10276</v>
      </c>
      <c r="B277" s="11">
        <v>44837</v>
      </c>
      <c r="C277" s="8">
        <v>2011</v>
      </c>
      <c r="D277" s="8" t="s">
        <v>9</v>
      </c>
      <c r="E277" s="8">
        <v>6</v>
      </c>
      <c r="F277" s="8">
        <v>272.25</v>
      </c>
      <c r="G277" s="8">
        <v>0.14000000000000001</v>
      </c>
      <c r="H277" s="8" t="s">
        <v>20</v>
      </c>
      <c r="I277" s="12" t="s">
        <v>11</v>
      </c>
    </row>
    <row r="278" spans="1:9" x14ac:dyDescent="0.3">
      <c r="A278" s="5">
        <v>10277</v>
      </c>
      <c r="B278" s="9">
        <v>44838</v>
      </c>
      <c r="C278" s="6">
        <v>2092</v>
      </c>
      <c r="D278" s="6" t="s">
        <v>19</v>
      </c>
      <c r="E278" s="6">
        <v>2</v>
      </c>
      <c r="F278" s="6">
        <v>21.92</v>
      </c>
      <c r="G278" s="6">
        <v>0.15</v>
      </c>
      <c r="H278" s="6" t="s">
        <v>13</v>
      </c>
      <c r="I278" s="10" t="s">
        <v>11</v>
      </c>
    </row>
    <row r="279" spans="1:9" x14ac:dyDescent="0.3">
      <c r="A279" s="7">
        <v>10278</v>
      </c>
      <c r="B279" s="11">
        <v>44839</v>
      </c>
      <c r="C279" s="8">
        <v>2057</v>
      </c>
      <c r="D279" s="8" t="s">
        <v>16</v>
      </c>
      <c r="E279" s="8">
        <v>1</v>
      </c>
      <c r="F279" s="8">
        <v>493.41</v>
      </c>
      <c r="G279" s="8">
        <v>0.04</v>
      </c>
      <c r="H279" s="8" t="s">
        <v>20</v>
      </c>
      <c r="I279" s="12" t="s">
        <v>18</v>
      </c>
    </row>
    <row r="280" spans="1:9" x14ac:dyDescent="0.3">
      <c r="A280" s="5">
        <v>10279</v>
      </c>
      <c r="B280" s="9">
        <v>44840</v>
      </c>
      <c r="C280" s="6">
        <v>2089</v>
      </c>
      <c r="D280" s="6" t="s">
        <v>16</v>
      </c>
      <c r="E280" s="6">
        <v>5</v>
      </c>
      <c r="F280" s="6">
        <v>65.87</v>
      </c>
      <c r="G280" s="6">
        <v>0.12</v>
      </c>
      <c r="H280" s="6" t="s">
        <v>10</v>
      </c>
      <c r="I280" s="10" t="s">
        <v>11</v>
      </c>
    </row>
    <row r="281" spans="1:9" x14ac:dyDescent="0.3">
      <c r="A281" s="7">
        <v>10280</v>
      </c>
      <c r="B281" s="11">
        <v>44841</v>
      </c>
      <c r="C281" s="8">
        <v>2050</v>
      </c>
      <c r="D281" s="8" t="s">
        <v>14</v>
      </c>
      <c r="E281" s="8">
        <v>9</v>
      </c>
      <c r="F281" s="8">
        <v>119.41</v>
      </c>
      <c r="G281" s="8">
        <v>0.19</v>
      </c>
      <c r="H281" s="8" t="s">
        <v>15</v>
      </c>
      <c r="I281" s="12" t="s">
        <v>11</v>
      </c>
    </row>
    <row r="282" spans="1:9" x14ac:dyDescent="0.3">
      <c r="A282" s="5">
        <v>10281</v>
      </c>
      <c r="B282" s="9">
        <v>44842</v>
      </c>
      <c r="C282" s="6">
        <v>2023</v>
      </c>
      <c r="D282" s="6" t="s">
        <v>16</v>
      </c>
      <c r="E282" s="6">
        <v>6</v>
      </c>
      <c r="F282" s="6">
        <v>30.59</v>
      </c>
      <c r="G282" s="6">
        <v>0.23</v>
      </c>
      <c r="H282" s="6" t="s">
        <v>10</v>
      </c>
      <c r="I282" s="10" t="s">
        <v>18</v>
      </c>
    </row>
    <row r="283" spans="1:9" x14ac:dyDescent="0.3">
      <c r="A283" s="7">
        <v>10282</v>
      </c>
      <c r="B283" s="11">
        <v>44843</v>
      </c>
      <c r="C283" s="8">
        <v>2031</v>
      </c>
      <c r="D283" s="8" t="s">
        <v>16</v>
      </c>
      <c r="E283" s="8">
        <v>7</v>
      </c>
      <c r="F283" s="8">
        <v>321.8</v>
      </c>
      <c r="G283" s="8">
        <v>7.0000000000000007E-2</v>
      </c>
      <c r="H283" s="8" t="s">
        <v>15</v>
      </c>
      <c r="I283" s="12" t="s">
        <v>11</v>
      </c>
    </row>
    <row r="284" spans="1:9" x14ac:dyDescent="0.3">
      <c r="A284" s="5">
        <v>10283</v>
      </c>
      <c r="B284" s="9">
        <v>44844</v>
      </c>
      <c r="C284" s="6">
        <v>2094</v>
      </c>
      <c r="D284" s="6" t="s">
        <v>16</v>
      </c>
      <c r="E284" s="6">
        <v>5</v>
      </c>
      <c r="F284" s="6">
        <v>116.23</v>
      </c>
      <c r="G284" s="6">
        <v>0.04</v>
      </c>
      <c r="H284" s="6" t="s">
        <v>10</v>
      </c>
      <c r="I284" s="10" t="s">
        <v>18</v>
      </c>
    </row>
    <row r="285" spans="1:9" x14ac:dyDescent="0.3">
      <c r="A285" s="7">
        <v>10284</v>
      </c>
      <c r="B285" s="11">
        <v>44845</v>
      </c>
      <c r="C285" s="8">
        <v>2042</v>
      </c>
      <c r="D285" s="8" t="s">
        <v>16</v>
      </c>
      <c r="E285" s="8">
        <v>6</v>
      </c>
      <c r="F285" s="8">
        <v>94.11</v>
      </c>
      <c r="G285" s="8">
        <v>0.2</v>
      </c>
      <c r="H285" s="8" t="s">
        <v>17</v>
      </c>
      <c r="I285" s="12" t="s">
        <v>18</v>
      </c>
    </row>
    <row r="286" spans="1:9" x14ac:dyDescent="0.3">
      <c r="A286" s="5">
        <v>10285</v>
      </c>
      <c r="B286" s="9">
        <v>44846</v>
      </c>
      <c r="C286" s="6">
        <v>2099</v>
      </c>
      <c r="D286" s="6" t="s">
        <v>12</v>
      </c>
      <c r="E286" s="6">
        <v>5</v>
      </c>
      <c r="F286" s="6">
        <v>48.84</v>
      </c>
      <c r="G286" s="6">
        <v>0</v>
      </c>
      <c r="H286" s="6" t="s">
        <v>20</v>
      </c>
      <c r="I286" s="10" t="s">
        <v>11</v>
      </c>
    </row>
    <row r="287" spans="1:9" x14ac:dyDescent="0.3">
      <c r="A287" s="7">
        <v>10286</v>
      </c>
      <c r="B287" s="11">
        <v>44847</v>
      </c>
      <c r="C287" s="8">
        <v>2007</v>
      </c>
      <c r="D287" s="8" t="s">
        <v>12</v>
      </c>
      <c r="E287" s="8">
        <v>9</v>
      </c>
      <c r="F287" s="8">
        <v>56.14</v>
      </c>
      <c r="G287" s="8">
        <v>0.05</v>
      </c>
      <c r="H287" s="8" t="s">
        <v>15</v>
      </c>
      <c r="I287" s="12" t="s">
        <v>11</v>
      </c>
    </row>
    <row r="288" spans="1:9" x14ac:dyDescent="0.3">
      <c r="A288" s="5">
        <v>10287</v>
      </c>
      <c r="B288" s="9">
        <v>44848</v>
      </c>
      <c r="C288" s="6">
        <v>2016</v>
      </c>
      <c r="D288" s="6" t="s">
        <v>14</v>
      </c>
      <c r="E288" s="6">
        <v>6</v>
      </c>
      <c r="F288" s="6">
        <v>294.41000000000003</v>
      </c>
      <c r="G288" s="6">
        <v>0.01</v>
      </c>
      <c r="H288" s="6" t="s">
        <v>13</v>
      </c>
      <c r="I288" s="10" t="s">
        <v>11</v>
      </c>
    </row>
    <row r="289" spans="1:9" x14ac:dyDescent="0.3">
      <c r="A289" s="7">
        <v>10288</v>
      </c>
      <c r="B289" s="11">
        <v>44849</v>
      </c>
      <c r="C289" s="8">
        <v>2090</v>
      </c>
      <c r="D289" s="8" t="s">
        <v>19</v>
      </c>
      <c r="E289" s="8">
        <v>8</v>
      </c>
      <c r="F289" s="8">
        <v>345.66</v>
      </c>
      <c r="G289" s="8">
        <v>0.05</v>
      </c>
      <c r="H289" s="8" t="s">
        <v>20</v>
      </c>
      <c r="I289" s="12" t="s">
        <v>18</v>
      </c>
    </row>
    <row r="290" spans="1:9" x14ac:dyDescent="0.3">
      <c r="A290" s="5">
        <v>10289</v>
      </c>
      <c r="B290" s="9">
        <v>44850</v>
      </c>
      <c r="C290" s="6">
        <v>2060</v>
      </c>
      <c r="D290" s="6" t="s">
        <v>16</v>
      </c>
      <c r="E290" s="6">
        <v>2</v>
      </c>
      <c r="F290" s="6">
        <v>201.7</v>
      </c>
      <c r="G290" s="6">
        <v>0.05</v>
      </c>
      <c r="H290" s="6" t="s">
        <v>13</v>
      </c>
      <c r="I290" s="10" t="s">
        <v>18</v>
      </c>
    </row>
    <row r="291" spans="1:9" x14ac:dyDescent="0.3">
      <c r="A291" s="7">
        <v>10290</v>
      </c>
      <c r="B291" s="11">
        <v>44851</v>
      </c>
      <c r="C291" s="8">
        <v>2002</v>
      </c>
      <c r="D291" s="8" t="s">
        <v>19</v>
      </c>
      <c r="E291" s="8">
        <v>9</v>
      </c>
      <c r="F291" s="8">
        <v>242.55</v>
      </c>
      <c r="G291" s="8">
        <v>0.12</v>
      </c>
      <c r="H291" s="8" t="s">
        <v>20</v>
      </c>
      <c r="I291" s="12" t="s">
        <v>18</v>
      </c>
    </row>
    <row r="292" spans="1:9" x14ac:dyDescent="0.3">
      <c r="A292" s="5">
        <v>10291</v>
      </c>
      <c r="B292" s="9">
        <v>44852</v>
      </c>
      <c r="C292" s="6">
        <v>2001</v>
      </c>
      <c r="D292" s="6" t="s">
        <v>19</v>
      </c>
      <c r="E292" s="6">
        <v>5</v>
      </c>
      <c r="F292" s="6">
        <v>344.55</v>
      </c>
      <c r="G292" s="6">
        <v>0.12</v>
      </c>
      <c r="H292" s="6" t="s">
        <v>20</v>
      </c>
      <c r="I292" s="10" t="s">
        <v>11</v>
      </c>
    </row>
    <row r="293" spans="1:9" x14ac:dyDescent="0.3">
      <c r="A293" s="7">
        <v>10292</v>
      </c>
      <c r="B293" s="11">
        <v>44853</v>
      </c>
      <c r="C293" s="8">
        <v>2048</v>
      </c>
      <c r="D293" s="8" t="s">
        <v>14</v>
      </c>
      <c r="E293" s="8">
        <v>7</v>
      </c>
      <c r="F293" s="8">
        <v>13.6</v>
      </c>
      <c r="G293" s="8">
        <v>0.26</v>
      </c>
      <c r="H293" s="8" t="s">
        <v>10</v>
      </c>
      <c r="I293" s="12" t="s">
        <v>11</v>
      </c>
    </row>
    <row r="294" spans="1:9" x14ac:dyDescent="0.3">
      <c r="A294" s="5">
        <v>10293</v>
      </c>
      <c r="B294" s="9">
        <v>44854</v>
      </c>
      <c r="C294" s="6">
        <v>2012</v>
      </c>
      <c r="D294" s="6" t="s">
        <v>16</v>
      </c>
      <c r="E294" s="6">
        <v>1</v>
      </c>
      <c r="F294" s="6">
        <v>164.95</v>
      </c>
      <c r="G294" s="6">
        <v>0.15</v>
      </c>
      <c r="H294" s="6" t="s">
        <v>15</v>
      </c>
      <c r="I294" s="10" t="s">
        <v>11</v>
      </c>
    </row>
    <row r="295" spans="1:9" x14ac:dyDescent="0.3">
      <c r="A295" s="7">
        <v>10294</v>
      </c>
      <c r="B295" s="11">
        <v>44855</v>
      </c>
      <c r="C295" s="8">
        <v>2069</v>
      </c>
      <c r="D295" s="8" t="s">
        <v>16</v>
      </c>
      <c r="E295" s="8">
        <v>5</v>
      </c>
      <c r="F295" s="8">
        <v>486.68</v>
      </c>
      <c r="G295" s="8">
        <v>0.22</v>
      </c>
      <c r="H295" s="8" t="s">
        <v>15</v>
      </c>
      <c r="I295" s="12" t="s">
        <v>11</v>
      </c>
    </row>
    <row r="296" spans="1:9" x14ac:dyDescent="0.3">
      <c r="A296" s="5">
        <v>10295</v>
      </c>
      <c r="B296" s="9">
        <v>44856</v>
      </c>
      <c r="C296" s="6">
        <v>2037</v>
      </c>
      <c r="D296" s="6" t="s">
        <v>9</v>
      </c>
      <c r="E296" s="6">
        <v>2</v>
      </c>
      <c r="F296" s="6">
        <v>292.16000000000003</v>
      </c>
      <c r="G296" s="6">
        <v>0.03</v>
      </c>
      <c r="H296" s="6" t="s">
        <v>20</v>
      </c>
      <c r="I296" s="10" t="s">
        <v>18</v>
      </c>
    </row>
    <row r="297" spans="1:9" x14ac:dyDescent="0.3">
      <c r="A297" s="7">
        <v>10296</v>
      </c>
      <c r="B297" s="11">
        <v>44857</v>
      </c>
      <c r="C297" s="8">
        <v>2032</v>
      </c>
      <c r="D297" s="8" t="s">
        <v>19</v>
      </c>
      <c r="E297" s="8">
        <v>6</v>
      </c>
      <c r="F297" s="8">
        <v>130.84</v>
      </c>
      <c r="G297" s="8">
        <v>7.0000000000000007E-2</v>
      </c>
      <c r="H297" s="8" t="s">
        <v>17</v>
      </c>
      <c r="I297" s="12" t="s">
        <v>18</v>
      </c>
    </row>
    <row r="298" spans="1:9" x14ac:dyDescent="0.3">
      <c r="A298" s="5">
        <v>10297</v>
      </c>
      <c r="B298" s="9">
        <v>44858</v>
      </c>
      <c r="C298" s="6">
        <v>2009</v>
      </c>
      <c r="D298" s="6" t="s">
        <v>19</v>
      </c>
      <c r="E298" s="6">
        <v>1</v>
      </c>
      <c r="F298" s="6">
        <v>263.26</v>
      </c>
      <c r="G298" s="6">
        <v>0.21</v>
      </c>
      <c r="H298" s="6" t="s">
        <v>17</v>
      </c>
      <c r="I298" s="10" t="s">
        <v>18</v>
      </c>
    </row>
    <row r="299" spans="1:9" x14ac:dyDescent="0.3">
      <c r="A299" s="7">
        <v>10298</v>
      </c>
      <c r="B299" s="11">
        <v>44859</v>
      </c>
      <c r="C299" s="8">
        <v>2099</v>
      </c>
      <c r="D299" s="8" t="s">
        <v>12</v>
      </c>
      <c r="E299" s="8">
        <v>3</v>
      </c>
      <c r="F299" s="8">
        <v>174.61</v>
      </c>
      <c r="G299" s="8">
        <v>0.02</v>
      </c>
      <c r="H299" s="8" t="s">
        <v>13</v>
      </c>
      <c r="I299" s="12" t="s">
        <v>18</v>
      </c>
    </row>
    <row r="300" spans="1:9" x14ac:dyDescent="0.3">
      <c r="A300" s="5">
        <v>10299</v>
      </c>
      <c r="B300" s="9">
        <v>44860</v>
      </c>
      <c r="C300" s="6">
        <v>2019</v>
      </c>
      <c r="D300" s="6" t="s">
        <v>9</v>
      </c>
      <c r="E300" s="6">
        <v>5</v>
      </c>
      <c r="F300" s="6">
        <v>268.45999999999998</v>
      </c>
      <c r="G300" s="6">
        <v>0.15</v>
      </c>
      <c r="H300" s="6" t="s">
        <v>13</v>
      </c>
      <c r="I300" s="10" t="s">
        <v>11</v>
      </c>
    </row>
    <row r="301" spans="1:9" x14ac:dyDescent="0.3">
      <c r="A301" s="7">
        <v>10300</v>
      </c>
      <c r="B301" s="11">
        <v>44861</v>
      </c>
      <c r="C301" s="8">
        <v>2048</v>
      </c>
      <c r="D301" s="8" t="s">
        <v>12</v>
      </c>
      <c r="E301" s="8">
        <v>4</v>
      </c>
      <c r="F301" s="8">
        <v>67.239999999999995</v>
      </c>
      <c r="G301" s="8">
        <v>0.18</v>
      </c>
      <c r="H301" s="8" t="s">
        <v>10</v>
      </c>
      <c r="I301" s="12" t="s">
        <v>11</v>
      </c>
    </row>
    <row r="302" spans="1:9" x14ac:dyDescent="0.3">
      <c r="A302" s="5">
        <v>10301</v>
      </c>
      <c r="B302" s="9">
        <v>44862</v>
      </c>
      <c r="C302" s="6">
        <v>2080</v>
      </c>
      <c r="D302" s="6" t="s">
        <v>12</v>
      </c>
      <c r="E302" s="6">
        <v>3</v>
      </c>
      <c r="F302" s="6">
        <v>70.69</v>
      </c>
      <c r="G302" s="6">
        <v>0.18</v>
      </c>
      <c r="H302" s="6" t="s">
        <v>20</v>
      </c>
      <c r="I302" s="10" t="s">
        <v>11</v>
      </c>
    </row>
    <row r="303" spans="1:9" x14ac:dyDescent="0.3">
      <c r="A303" s="7">
        <v>10302</v>
      </c>
      <c r="B303" s="11">
        <v>44863</v>
      </c>
      <c r="C303" s="8">
        <v>2003</v>
      </c>
      <c r="D303" s="8" t="s">
        <v>12</v>
      </c>
      <c r="E303" s="8">
        <v>5</v>
      </c>
      <c r="F303" s="8">
        <v>76.05</v>
      </c>
      <c r="G303" s="8">
        <v>0.01</v>
      </c>
      <c r="H303" s="8" t="s">
        <v>13</v>
      </c>
      <c r="I303" s="12" t="s">
        <v>18</v>
      </c>
    </row>
    <row r="304" spans="1:9" x14ac:dyDescent="0.3">
      <c r="A304" s="5">
        <v>10303</v>
      </c>
      <c r="B304" s="9">
        <v>44864</v>
      </c>
      <c r="C304" s="6">
        <v>2020</v>
      </c>
      <c r="D304" s="6" t="s">
        <v>14</v>
      </c>
      <c r="E304" s="6">
        <v>8</v>
      </c>
      <c r="F304" s="6">
        <v>470.21</v>
      </c>
      <c r="G304" s="6">
        <v>0.1</v>
      </c>
      <c r="H304" s="6" t="s">
        <v>13</v>
      </c>
      <c r="I304" s="10" t="s">
        <v>18</v>
      </c>
    </row>
    <row r="305" spans="1:9" x14ac:dyDescent="0.3">
      <c r="A305" s="7">
        <v>10304</v>
      </c>
      <c r="B305" s="11">
        <v>44865</v>
      </c>
      <c r="C305" s="8">
        <v>2024</v>
      </c>
      <c r="D305" s="8" t="s">
        <v>14</v>
      </c>
      <c r="E305" s="8">
        <v>4</v>
      </c>
      <c r="F305" s="8">
        <v>367.78</v>
      </c>
      <c r="G305" s="8">
        <v>0.19</v>
      </c>
      <c r="H305" s="8" t="s">
        <v>20</v>
      </c>
      <c r="I305" s="12" t="s">
        <v>11</v>
      </c>
    </row>
    <row r="306" spans="1:9" x14ac:dyDescent="0.3">
      <c r="A306" s="5">
        <v>10305</v>
      </c>
      <c r="B306" s="9">
        <v>44866</v>
      </c>
      <c r="C306" s="6">
        <v>2054</v>
      </c>
      <c r="D306" s="6" t="s">
        <v>12</v>
      </c>
      <c r="E306" s="6">
        <v>1</v>
      </c>
      <c r="F306" s="6">
        <v>85.38</v>
      </c>
      <c r="G306" s="6">
        <v>0.04</v>
      </c>
      <c r="H306" s="6" t="s">
        <v>10</v>
      </c>
      <c r="I306" s="10" t="s">
        <v>11</v>
      </c>
    </row>
    <row r="307" spans="1:9" x14ac:dyDescent="0.3">
      <c r="A307" s="7">
        <v>10306</v>
      </c>
      <c r="B307" s="11">
        <v>44867</v>
      </c>
      <c r="C307" s="8">
        <v>2033</v>
      </c>
      <c r="D307" s="8" t="s">
        <v>9</v>
      </c>
      <c r="E307" s="8">
        <v>7</v>
      </c>
      <c r="F307" s="8">
        <v>98.23</v>
      </c>
      <c r="G307" s="8">
        <v>0.21</v>
      </c>
      <c r="H307" s="8" t="s">
        <v>13</v>
      </c>
      <c r="I307" s="12" t="s">
        <v>18</v>
      </c>
    </row>
    <row r="308" spans="1:9" x14ac:dyDescent="0.3">
      <c r="A308" s="5">
        <v>10307</v>
      </c>
      <c r="B308" s="9">
        <v>44868</v>
      </c>
      <c r="C308" s="6">
        <v>2024</v>
      </c>
      <c r="D308" s="6" t="s">
        <v>19</v>
      </c>
      <c r="E308" s="6">
        <v>8</v>
      </c>
      <c r="F308" s="6">
        <v>366.76</v>
      </c>
      <c r="G308" s="6">
        <v>0.22</v>
      </c>
      <c r="H308" s="6" t="s">
        <v>10</v>
      </c>
      <c r="I308" s="10" t="s">
        <v>11</v>
      </c>
    </row>
    <row r="309" spans="1:9" x14ac:dyDescent="0.3">
      <c r="A309" s="7">
        <v>10308</v>
      </c>
      <c r="B309" s="11">
        <v>44869</v>
      </c>
      <c r="C309" s="8">
        <v>2075</v>
      </c>
      <c r="D309" s="8" t="s">
        <v>9</v>
      </c>
      <c r="E309" s="8">
        <v>3</v>
      </c>
      <c r="F309" s="8">
        <v>82.3</v>
      </c>
      <c r="G309" s="8">
        <v>0.28999999999999998</v>
      </c>
      <c r="H309" s="8" t="s">
        <v>15</v>
      </c>
      <c r="I309" s="12" t="s">
        <v>18</v>
      </c>
    </row>
    <row r="310" spans="1:9" x14ac:dyDescent="0.3">
      <c r="A310" s="5">
        <v>10309</v>
      </c>
      <c r="B310" s="9">
        <v>44870</v>
      </c>
      <c r="C310" s="6">
        <v>2072</v>
      </c>
      <c r="D310" s="6" t="s">
        <v>16</v>
      </c>
      <c r="E310" s="6">
        <v>6</v>
      </c>
      <c r="F310" s="6">
        <v>121.11</v>
      </c>
      <c r="G310" s="6">
        <v>0.06</v>
      </c>
      <c r="H310" s="6" t="s">
        <v>10</v>
      </c>
      <c r="I310" s="10" t="s">
        <v>18</v>
      </c>
    </row>
    <row r="311" spans="1:9" x14ac:dyDescent="0.3">
      <c r="A311" s="7">
        <v>10310</v>
      </c>
      <c r="B311" s="11">
        <v>44871</v>
      </c>
      <c r="C311" s="8">
        <v>2036</v>
      </c>
      <c r="D311" s="8" t="s">
        <v>14</v>
      </c>
      <c r="E311" s="8">
        <v>2</v>
      </c>
      <c r="F311" s="8">
        <v>481.86</v>
      </c>
      <c r="G311" s="8">
        <v>0.25</v>
      </c>
      <c r="H311" s="8" t="s">
        <v>17</v>
      </c>
      <c r="I311" s="12" t="s">
        <v>18</v>
      </c>
    </row>
    <row r="312" spans="1:9" x14ac:dyDescent="0.3">
      <c r="A312" s="5">
        <v>10311</v>
      </c>
      <c r="B312" s="9">
        <v>44872</v>
      </c>
      <c r="C312" s="6">
        <v>2038</v>
      </c>
      <c r="D312" s="6" t="s">
        <v>19</v>
      </c>
      <c r="E312" s="6">
        <v>7</v>
      </c>
      <c r="F312" s="6">
        <v>131.38</v>
      </c>
      <c r="G312" s="6">
        <v>0.16</v>
      </c>
      <c r="H312" s="6" t="s">
        <v>17</v>
      </c>
      <c r="I312" s="10" t="s">
        <v>11</v>
      </c>
    </row>
    <row r="313" spans="1:9" x14ac:dyDescent="0.3">
      <c r="A313" s="7">
        <v>10312</v>
      </c>
      <c r="B313" s="11">
        <v>44873</v>
      </c>
      <c r="C313" s="8">
        <v>2084</v>
      </c>
      <c r="D313" s="8" t="s">
        <v>19</v>
      </c>
      <c r="E313" s="8">
        <v>8</v>
      </c>
      <c r="F313" s="8">
        <v>332.51</v>
      </c>
      <c r="G313" s="8">
        <v>0.11</v>
      </c>
      <c r="H313" s="8" t="s">
        <v>10</v>
      </c>
      <c r="I313" s="12" t="s">
        <v>11</v>
      </c>
    </row>
    <row r="314" spans="1:9" x14ac:dyDescent="0.3">
      <c r="A314" s="5">
        <v>10313</v>
      </c>
      <c r="B314" s="9">
        <v>44874</v>
      </c>
      <c r="C314" s="6">
        <v>2099</v>
      </c>
      <c r="D314" s="6" t="s">
        <v>16</v>
      </c>
      <c r="E314" s="6">
        <v>6</v>
      </c>
      <c r="F314" s="6">
        <v>489.42</v>
      </c>
      <c r="G314" s="6">
        <v>0.04</v>
      </c>
      <c r="H314" s="6" t="s">
        <v>17</v>
      </c>
      <c r="I314" s="10" t="s">
        <v>18</v>
      </c>
    </row>
    <row r="315" spans="1:9" x14ac:dyDescent="0.3">
      <c r="A315" s="7">
        <v>10314</v>
      </c>
      <c r="B315" s="11">
        <v>44875</v>
      </c>
      <c r="C315" s="8">
        <v>2089</v>
      </c>
      <c r="D315" s="8" t="s">
        <v>16</v>
      </c>
      <c r="E315" s="8">
        <v>6</v>
      </c>
      <c r="F315" s="8">
        <v>190.28</v>
      </c>
      <c r="G315" s="8">
        <v>0.22</v>
      </c>
      <c r="H315" s="8" t="s">
        <v>15</v>
      </c>
      <c r="I315" s="12" t="s">
        <v>11</v>
      </c>
    </row>
    <row r="316" spans="1:9" x14ac:dyDescent="0.3">
      <c r="A316" s="5">
        <v>10315</v>
      </c>
      <c r="B316" s="9">
        <v>44876</v>
      </c>
      <c r="C316" s="6">
        <v>2099</v>
      </c>
      <c r="D316" s="6" t="s">
        <v>12</v>
      </c>
      <c r="E316" s="6">
        <v>5</v>
      </c>
      <c r="F316" s="6">
        <v>13.67</v>
      </c>
      <c r="G316" s="6">
        <v>7.0000000000000007E-2</v>
      </c>
      <c r="H316" s="6" t="s">
        <v>20</v>
      </c>
      <c r="I316" s="10" t="s">
        <v>18</v>
      </c>
    </row>
    <row r="317" spans="1:9" x14ac:dyDescent="0.3">
      <c r="A317" s="7">
        <v>10316</v>
      </c>
      <c r="B317" s="11">
        <v>44877</v>
      </c>
      <c r="C317" s="8">
        <v>2025</v>
      </c>
      <c r="D317" s="8" t="s">
        <v>14</v>
      </c>
      <c r="E317" s="8">
        <v>8</v>
      </c>
      <c r="F317" s="8">
        <v>125.85</v>
      </c>
      <c r="G317" s="8">
        <v>0.11</v>
      </c>
      <c r="H317" s="8" t="s">
        <v>17</v>
      </c>
      <c r="I317" s="12" t="s">
        <v>18</v>
      </c>
    </row>
    <row r="318" spans="1:9" x14ac:dyDescent="0.3">
      <c r="A318" s="5">
        <v>10317</v>
      </c>
      <c r="B318" s="9">
        <v>44878</v>
      </c>
      <c r="C318" s="6">
        <v>2093</v>
      </c>
      <c r="D318" s="6" t="s">
        <v>14</v>
      </c>
      <c r="E318" s="6">
        <v>1</v>
      </c>
      <c r="F318" s="6">
        <v>416.28</v>
      </c>
      <c r="G318" s="6">
        <v>0.02</v>
      </c>
      <c r="H318" s="6" t="s">
        <v>17</v>
      </c>
      <c r="I318" s="10" t="s">
        <v>18</v>
      </c>
    </row>
    <row r="319" spans="1:9" x14ac:dyDescent="0.3">
      <c r="A319" s="7">
        <v>10318</v>
      </c>
      <c r="B319" s="11">
        <v>44879</v>
      </c>
      <c r="C319" s="8">
        <v>2018</v>
      </c>
      <c r="D319" s="8" t="s">
        <v>9</v>
      </c>
      <c r="E319" s="8">
        <v>4</v>
      </c>
      <c r="F319" s="8">
        <v>432.98</v>
      </c>
      <c r="G319" s="8">
        <v>0.24</v>
      </c>
      <c r="H319" s="8" t="s">
        <v>10</v>
      </c>
      <c r="I319" s="12" t="s">
        <v>18</v>
      </c>
    </row>
    <row r="320" spans="1:9" x14ac:dyDescent="0.3">
      <c r="A320" s="5">
        <v>10319</v>
      </c>
      <c r="B320" s="9">
        <v>44880</v>
      </c>
      <c r="C320" s="6">
        <v>2082</v>
      </c>
      <c r="D320" s="6" t="s">
        <v>12</v>
      </c>
      <c r="E320" s="6">
        <v>4</v>
      </c>
      <c r="F320" s="6">
        <v>385.42</v>
      </c>
      <c r="G320" s="6">
        <v>0.23</v>
      </c>
      <c r="H320" s="6" t="s">
        <v>15</v>
      </c>
      <c r="I320" s="10" t="s">
        <v>11</v>
      </c>
    </row>
    <row r="321" spans="1:9" x14ac:dyDescent="0.3">
      <c r="A321" s="7">
        <v>10320</v>
      </c>
      <c r="B321" s="11">
        <v>44881</v>
      </c>
      <c r="C321" s="8">
        <v>2066</v>
      </c>
      <c r="D321" s="8" t="s">
        <v>12</v>
      </c>
      <c r="E321" s="8">
        <v>3</v>
      </c>
      <c r="F321" s="8">
        <v>60.99</v>
      </c>
      <c r="G321" s="8">
        <v>0.22</v>
      </c>
      <c r="H321" s="8" t="s">
        <v>20</v>
      </c>
      <c r="I321" s="12" t="s">
        <v>18</v>
      </c>
    </row>
    <row r="322" spans="1:9" x14ac:dyDescent="0.3">
      <c r="A322" s="5">
        <v>10321</v>
      </c>
      <c r="B322" s="9">
        <v>44882</v>
      </c>
      <c r="C322" s="6">
        <v>2054</v>
      </c>
      <c r="D322" s="6" t="s">
        <v>12</v>
      </c>
      <c r="E322" s="6">
        <v>3</v>
      </c>
      <c r="F322" s="6">
        <v>398.78</v>
      </c>
      <c r="G322" s="6">
        <v>0.09</v>
      </c>
      <c r="H322" s="6" t="s">
        <v>10</v>
      </c>
      <c r="I322" s="10" t="s">
        <v>18</v>
      </c>
    </row>
    <row r="323" spans="1:9" x14ac:dyDescent="0.3">
      <c r="A323" s="7">
        <v>10322</v>
      </c>
      <c r="B323" s="11">
        <v>44883</v>
      </c>
      <c r="C323" s="8">
        <v>2035</v>
      </c>
      <c r="D323" s="8" t="s">
        <v>12</v>
      </c>
      <c r="E323" s="8">
        <v>4</v>
      </c>
      <c r="F323" s="8">
        <v>459.75</v>
      </c>
      <c r="G323" s="8">
        <v>0.05</v>
      </c>
      <c r="H323" s="8" t="s">
        <v>10</v>
      </c>
      <c r="I323" s="12" t="s">
        <v>11</v>
      </c>
    </row>
    <row r="324" spans="1:9" x14ac:dyDescent="0.3">
      <c r="A324" s="5">
        <v>10323</v>
      </c>
      <c r="B324" s="9">
        <v>44884</v>
      </c>
      <c r="C324" s="6">
        <v>2080</v>
      </c>
      <c r="D324" s="6" t="s">
        <v>14</v>
      </c>
      <c r="E324" s="6">
        <v>1</v>
      </c>
      <c r="F324" s="6">
        <v>302.3</v>
      </c>
      <c r="G324" s="6">
        <v>0.19</v>
      </c>
      <c r="H324" s="6" t="s">
        <v>15</v>
      </c>
      <c r="I324" s="10" t="s">
        <v>18</v>
      </c>
    </row>
    <row r="325" spans="1:9" x14ac:dyDescent="0.3">
      <c r="A325" s="7">
        <v>10324</v>
      </c>
      <c r="B325" s="11">
        <v>44885</v>
      </c>
      <c r="C325" s="8">
        <v>2061</v>
      </c>
      <c r="D325" s="8" t="s">
        <v>14</v>
      </c>
      <c r="E325" s="8">
        <v>2</v>
      </c>
      <c r="F325" s="8">
        <v>470.73</v>
      </c>
      <c r="G325" s="8">
        <v>0.15</v>
      </c>
      <c r="H325" s="8" t="s">
        <v>20</v>
      </c>
      <c r="I325" s="12" t="s">
        <v>18</v>
      </c>
    </row>
    <row r="326" spans="1:9" x14ac:dyDescent="0.3">
      <c r="A326" s="5">
        <v>10325</v>
      </c>
      <c r="B326" s="9">
        <v>44886</v>
      </c>
      <c r="C326" s="6">
        <v>2041</v>
      </c>
      <c r="D326" s="6" t="s">
        <v>12</v>
      </c>
      <c r="E326" s="6">
        <v>9</v>
      </c>
      <c r="F326" s="6">
        <v>414.29</v>
      </c>
      <c r="G326" s="6">
        <v>0.05</v>
      </c>
      <c r="H326" s="6" t="s">
        <v>15</v>
      </c>
      <c r="I326" s="10" t="s">
        <v>11</v>
      </c>
    </row>
    <row r="327" spans="1:9" x14ac:dyDescent="0.3">
      <c r="A327" s="7">
        <v>10326</v>
      </c>
      <c r="B327" s="11">
        <v>44887</v>
      </c>
      <c r="C327" s="8">
        <v>2100</v>
      </c>
      <c r="D327" s="8" t="s">
        <v>9</v>
      </c>
      <c r="E327" s="8">
        <v>2</v>
      </c>
      <c r="F327" s="8">
        <v>335.15</v>
      </c>
      <c r="G327" s="8">
        <v>0.21</v>
      </c>
      <c r="H327" s="8" t="s">
        <v>20</v>
      </c>
      <c r="I327" s="12" t="s">
        <v>11</v>
      </c>
    </row>
    <row r="328" spans="1:9" x14ac:dyDescent="0.3">
      <c r="A328" s="5">
        <v>10327</v>
      </c>
      <c r="B328" s="9">
        <v>44888</v>
      </c>
      <c r="C328" s="6">
        <v>2033</v>
      </c>
      <c r="D328" s="6" t="s">
        <v>19</v>
      </c>
      <c r="E328" s="6">
        <v>5</v>
      </c>
      <c r="F328" s="6">
        <v>290.70999999999998</v>
      </c>
      <c r="G328" s="6">
        <v>0.3</v>
      </c>
      <c r="H328" s="6" t="s">
        <v>15</v>
      </c>
      <c r="I328" s="10" t="s">
        <v>11</v>
      </c>
    </row>
    <row r="329" spans="1:9" x14ac:dyDescent="0.3">
      <c r="A329" s="7">
        <v>10328</v>
      </c>
      <c r="B329" s="11">
        <v>44889</v>
      </c>
      <c r="C329" s="8">
        <v>2068</v>
      </c>
      <c r="D329" s="8" t="s">
        <v>19</v>
      </c>
      <c r="E329" s="8">
        <v>9</v>
      </c>
      <c r="F329" s="8">
        <v>177.54</v>
      </c>
      <c r="G329" s="8">
        <v>0.22</v>
      </c>
      <c r="H329" s="8" t="s">
        <v>10</v>
      </c>
      <c r="I329" s="12" t="s">
        <v>18</v>
      </c>
    </row>
    <row r="330" spans="1:9" x14ac:dyDescent="0.3">
      <c r="A330" s="5">
        <v>10329</v>
      </c>
      <c r="B330" s="9">
        <v>44890</v>
      </c>
      <c r="C330" s="6">
        <v>2033</v>
      </c>
      <c r="D330" s="6" t="s">
        <v>9</v>
      </c>
      <c r="E330" s="6">
        <v>9</v>
      </c>
      <c r="F330" s="6">
        <v>83.85</v>
      </c>
      <c r="G330" s="6">
        <v>0.22</v>
      </c>
      <c r="H330" s="6" t="s">
        <v>10</v>
      </c>
      <c r="I330" s="10" t="s">
        <v>11</v>
      </c>
    </row>
    <row r="331" spans="1:9" x14ac:dyDescent="0.3">
      <c r="A331" s="7">
        <v>10330</v>
      </c>
      <c r="B331" s="11">
        <v>44891</v>
      </c>
      <c r="C331" s="8">
        <v>2014</v>
      </c>
      <c r="D331" s="8" t="s">
        <v>12</v>
      </c>
      <c r="E331" s="8">
        <v>8</v>
      </c>
      <c r="F331" s="8">
        <v>304.45</v>
      </c>
      <c r="G331" s="8">
        <v>0.28999999999999998</v>
      </c>
      <c r="H331" s="8" t="s">
        <v>13</v>
      </c>
      <c r="I331" s="12" t="s">
        <v>11</v>
      </c>
    </row>
    <row r="332" spans="1:9" x14ac:dyDescent="0.3">
      <c r="A332" s="5">
        <v>10331</v>
      </c>
      <c r="B332" s="9">
        <v>44892</v>
      </c>
      <c r="C332" s="6">
        <v>2021</v>
      </c>
      <c r="D332" s="6" t="s">
        <v>14</v>
      </c>
      <c r="E332" s="6">
        <v>1</v>
      </c>
      <c r="F332" s="6">
        <v>162.47</v>
      </c>
      <c r="G332" s="6">
        <v>0.06</v>
      </c>
      <c r="H332" s="6" t="s">
        <v>17</v>
      </c>
      <c r="I332" s="10" t="s">
        <v>18</v>
      </c>
    </row>
    <row r="333" spans="1:9" x14ac:dyDescent="0.3">
      <c r="A333" s="7">
        <v>10332</v>
      </c>
      <c r="B333" s="11">
        <v>44893</v>
      </c>
      <c r="C333" s="8">
        <v>2048</v>
      </c>
      <c r="D333" s="8" t="s">
        <v>19</v>
      </c>
      <c r="E333" s="8">
        <v>1</v>
      </c>
      <c r="F333" s="8">
        <v>433.89</v>
      </c>
      <c r="G333" s="8">
        <v>0.17</v>
      </c>
      <c r="H333" s="8" t="s">
        <v>15</v>
      </c>
      <c r="I333" s="12" t="s">
        <v>18</v>
      </c>
    </row>
    <row r="334" spans="1:9" x14ac:dyDescent="0.3">
      <c r="A334" s="5">
        <v>10333</v>
      </c>
      <c r="B334" s="9">
        <v>44894</v>
      </c>
      <c r="C334" s="6">
        <v>2020</v>
      </c>
      <c r="D334" s="6" t="s">
        <v>16</v>
      </c>
      <c r="E334" s="6">
        <v>9</v>
      </c>
      <c r="F334" s="6">
        <v>496.7</v>
      </c>
      <c r="G334" s="6">
        <v>0.28999999999999998</v>
      </c>
      <c r="H334" s="6" t="s">
        <v>13</v>
      </c>
      <c r="I334" s="10" t="s">
        <v>18</v>
      </c>
    </row>
    <row r="335" spans="1:9" x14ac:dyDescent="0.3">
      <c r="A335" s="7">
        <v>10334</v>
      </c>
      <c r="B335" s="11">
        <v>44895</v>
      </c>
      <c r="C335" s="8">
        <v>2008</v>
      </c>
      <c r="D335" s="8" t="s">
        <v>16</v>
      </c>
      <c r="E335" s="8">
        <v>8</v>
      </c>
      <c r="F335" s="8">
        <v>377.45</v>
      </c>
      <c r="G335" s="8">
        <v>0.05</v>
      </c>
      <c r="H335" s="8" t="s">
        <v>17</v>
      </c>
      <c r="I335" s="12" t="s">
        <v>18</v>
      </c>
    </row>
    <row r="336" spans="1:9" x14ac:dyDescent="0.3">
      <c r="A336" s="5">
        <v>10335</v>
      </c>
      <c r="B336" s="9">
        <v>44896</v>
      </c>
      <c r="C336" s="6">
        <v>2007</v>
      </c>
      <c r="D336" s="6" t="s">
        <v>9</v>
      </c>
      <c r="E336" s="6">
        <v>9</v>
      </c>
      <c r="F336" s="6">
        <v>49.79</v>
      </c>
      <c r="G336" s="6">
        <v>0.21</v>
      </c>
      <c r="H336" s="6" t="s">
        <v>15</v>
      </c>
      <c r="I336" s="10" t="s">
        <v>18</v>
      </c>
    </row>
    <row r="337" spans="1:9" x14ac:dyDescent="0.3">
      <c r="A337" s="7">
        <v>10336</v>
      </c>
      <c r="B337" s="11">
        <v>44897</v>
      </c>
      <c r="C337" s="8">
        <v>2067</v>
      </c>
      <c r="D337" s="8" t="s">
        <v>12</v>
      </c>
      <c r="E337" s="8">
        <v>7</v>
      </c>
      <c r="F337" s="8">
        <v>147.9</v>
      </c>
      <c r="G337" s="8">
        <v>0.18</v>
      </c>
      <c r="H337" s="8" t="s">
        <v>20</v>
      </c>
      <c r="I337" s="12" t="s">
        <v>11</v>
      </c>
    </row>
    <row r="338" spans="1:9" x14ac:dyDescent="0.3">
      <c r="A338" s="5">
        <v>10337</v>
      </c>
      <c r="B338" s="9">
        <v>44898</v>
      </c>
      <c r="C338" s="6">
        <v>2017</v>
      </c>
      <c r="D338" s="6" t="s">
        <v>19</v>
      </c>
      <c r="E338" s="6">
        <v>3</v>
      </c>
      <c r="F338" s="6">
        <v>59.01</v>
      </c>
      <c r="G338" s="6">
        <v>0.18</v>
      </c>
      <c r="H338" s="6" t="s">
        <v>17</v>
      </c>
      <c r="I338" s="10" t="s">
        <v>11</v>
      </c>
    </row>
    <row r="339" spans="1:9" x14ac:dyDescent="0.3">
      <c r="A339" s="7">
        <v>10338</v>
      </c>
      <c r="B339" s="11">
        <v>44899</v>
      </c>
      <c r="C339" s="8">
        <v>2033</v>
      </c>
      <c r="D339" s="8" t="s">
        <v>12</v>
      </c>
      <c r="E339" s="8">
        <v>3</v>
      </c>
      <c r="F339" s="8">
        <v>327</v>
      </c>
      <c r="G339" s="8">
        <v>0.21</v>
      </c>
      <c r="H339" s="8" t="s">
        <v>10</v>
      </c>
      <c r="I339" s="12" t="s">
        <v>11</v>
      </c>
    </row>
    <row r="340" spans="1:9" x14ac:dyDescent="0.3">
      <c r="A340" s="5">
        <v>10339</v>
      </c>
      <c r="B340" s="9">
        <v>44900</v>
      </c>
      <c r="C340" s="6">
        <v>2048</v>
      </c>
      <c r="D340" s="6" t="s">
        <v>19</v>
      </c>
      <c r="E340" s="6">
        <v>2</v>
      </c>
      <c r="F340" s="6">
        <v>383.77</v>
      </c>
      <c r="G340" s="6">
        <v>0.28000000000000003</v>
      </c>
      <c r="H340" s="6" t="s">
        <v>13</v>
      </c>
      <c r="I340" s="10" t="s">
        <v>18</v>
      </c>
    </row>
    <row r="341" spans="1:9" x14ac:dyDescent="0.3">
      <c r="A341" s="7">
        <v>10340</v>
      </c>
      <c r="B341" s="11">
        <v>44901</v>
      </c>
      <c r="C341" s="8">
        <v>2076</v>
      </c>
      <c r="D341" s="8" t="s">
        <v>9</v>
      </c>
      <c r="E341" s="8">
        <v>5</v>
      </c>
      <c r="F341" s="8">
        <v>463.21</v>
      </c>
      <c r="G341" s="8">
        <v>0.23</v>
      </c>
      <c r="H341" s="8" t="s">
        <v>17</v>
      </c>
      <c r="I341" s="12" t="s">
        <v>18</v>
      </c>
    </row>
    <row r="342" spans="1:9" x14ac:dyDescent="0.3">
      <c r="A342" s="5">
        <v>10341</v>
      </c>
      <c r="B342" s="9">
        <v>44902</v>
      </c>
      <c r="C342" s="6">
        <v>2059</v>
      </c>
      <c r="D342" s="6" t="s">
        <v>9</v>
      </c>
      <c r="E342" s="6">
        <v>3</v>
      </c>
      <c r="F342" s="6">
        <v>221.9</v>
      </c>
      <c r="G342" s="6">
        <v>0.02</v>
      </c>
      <c r="H342" s="6" t="s">
        <v>17</v>
      </c>
      <c r="I342" s="10" t="s">
        <v>18</v>
      </c>
    </row>
    <row r="343" spans="1:9" x14ac:dyDescent="0.3">
      <c r="A343" s="7">
        <v>10342</v>
      </c>
      <c r="B343" s="11">
        <v>44903</v>
      </c>
      <c r="C343" s="8">
        <v>2086</v>
      </c>
      <c r="D343" s="8" t="s">
        <v>16</v>
      </c>
      <c r="E343" s="8">
        <v>6</v>
      </c>
      <c r="F343" s="8">
        <v>451.18</v>
      </c>
      <c r="G343" s="8">
        <v>0.26</v>
      </c>
      <c r="H343" s="8" t="s">
        <v>10</v>
      </c>
      <c r="I343" s="12" t="s">
        <v>11</v>
      </c>
    </row>
    <row r="344" spans="1:9" x14ac:dyDescent="0.3">
      <c r="A344" s="5">
        <v>10343</v>
      </c>
      <c r="B344" s="9">
        <v>44904</v>
      </c>
      <c r="C344" s="6">
        <v>2022</v>
      </c>
      <c r="D344" s="6" t="s">
        <v>12</v>
      </c>
      <c r="E344" s="6">
        <v>2</v>
      </c>
      <c r="F344" s="6">
        <v>439.56</v>
      </c>
      <c r="G344" s="6">
        <v>7.0000000000000007E-2</v>
      </c>
      <c r="H344" s="6" t="s">
        <v>15</v>
      </c>
      <c r="I344" s="10" t="s">
        <v>11</v>
      </c>
    </row>
    <row r="345" spans="1:9" x14ac:dyDescent="0.3">
      <c r="A345" s="7">
        <v>10344</v>
      </c>
      <c r="B345" s="11">
        <v>44905</v>
      </c>
      <c r="C345" s="8">
        <v>2030</v>
      </c>
      <c r="D345" s="8" t="s">
        <v>16</v>
      </c>
      <c r="E345" s="8">
        <v>3</v>
      </c>
      <c r="F345" s="8">
        <v>162.01</v>
      </c>
      <c r="G345" s="8">
        <v>0.11</v>
      </c>
      <c r="H345" s="8" t="s">
        <v>20</v>
      </c>
      <c r="I345" s="12" t="s">
        <v>18</v>
      </c>
    </row>
    <row r="346" spans="1:9" x14ac:dyDescent="0.3">
      <c r="A346" s="5">
        <v>10345</v>
      </c>
      <c r="B346" s="9">
        <v>44906</v>
      </c>
      <c r="C346" s="6">
        <v>2038</v>
      </c>
      <c r="D346" s="6" t="s">
        <v>12</v>
      </c>
      <c r="E346" s="6">
        <v>5</v>
      </c>
      <c r="F346" s="6">
        <v>435.11</v>
      </c>
      <c r="G346" s="6">
        <v>0.14000000000000001</v>
      </c>
      <c r="H346" s="6" t="s">
        <v>10</v>
      </c>
      <c r="I346" s="10" t="s">
        <v>11</v>
      </c>
    </row>
    <row r="347" spans="1:9" x14ac:dyDescent="0.3">
      <c r="A347" s="7">
        <v>10346</v>
      </c>
      <c r="B347" s="11">
        <v>44907</v>
      </c>
      <c r="C347" s="8">
        <v>2051</v>
      </c>
      <c r="D347" s="8" t="s">
        <v>16</v>
      </c>
      <c r="E347" s="8">
        <v>1</v>
      </c>
      <c r="F347" s="8">
        <v>190.96</v>
      </c>
      <c r="G347" s="8">
        <v>0.14000000000000001</v>
      </c>
      <c r="H347" s="8" t="s">
        <v>20</v>
      </c>
      <c r="I347" s="12" t="s">
        <v>18</v>
      </c>
    </row>
    <row r="348" spans="1:9" x14ac:dyDescent="0.3">
      <c r="A348" s="5">
        <v>10347</v>
      </c>
      <c r="B348" s="9">
        <v>44908</v>
      </c>
      <c r="C348" s="6">
        <v>2054</v>
      </c>
      <c r="D348" s="6" t="s">
        <v>14</v>
      </c>
      <c r="E348" s="6">
        <v>1</v>
      </c>
      <c r="F348" s="6">
        <v>151.94999999999999</v>
      </c>
      <c r="G348" s="6">
        <v>0.13</v>
      </c>
      <c r="H348" s="6" t="s">
        <v>15</v>
      </c>
      <c r="I348" s="10" t="s">
        <v>11</v>
      </c>
    </row>
    <row r="349" spans="1:9" x14ac:dyDescent="0.3">
      <c r="A349" s="7">
        <v>10348</v>
      </c>
      <c r="B349" s="11">
        <v>44909</v>
      </c>
      <c r="C349" s="8">
        <v>2008</v>
      </c>
      <c r="D349" s="8" t="s">
        <v>14</v>
      </c>
      <c r="E349" s="8">
        <v>9</v>
      </c>
      <c r="F349" s="8">
        <v>326.29000000000002</v>
      </c>
      <c r="G349" s="8">
        <v>0.28000000000000003</v>
      </c>
      <c r="H349" s="8" t="s">
        <v>17</v>
      </c>
      <c r="I349" s="12" t="s">
        <v>11</v>
      </c>
    </row>
    <row r="350" spans="1:9" x14ac:dyDescent="0.3">
      <c r="A350" s="5">
        <v>10349</v>
      </c>
      <c r="B350" s="9">
        <v>44910</v>
      </c>
      <c r="C350" s="6">
        <v>2027</v>
      </c>
      <c r="D350" s="6" t="s">
        <v>14</v>
      </c>
      <c r="E350" s="6">
        <v>7</v>
      </c>
      <c r="F350" s="6">
        <v>167.55</v>
      </c>
      <c r="G350" s="6">
        <v>0.21</v>
      </c>
      <c r="H350" s="6" t="s">
        <v>20</v>
      </c>
      <c r="I350" s="10" t="s">
        <v>11</v>
      </c>
    </row>
    <row r="351" spans="1:9" x14ac:dyDescent="0.3">
      <c r="A351" s="7">
        <v>10350</v>
      </c>
      <c r="B351" s="11">
        <v>44911</v>
      </c>
      <c r="C351" s="8">
        <v>2027</v>
      </c>
      <c r="D351" s="8" t="s">
        <v>14</v>
      </c>
      <c r="E351" s="8">
        <v>1</v>
      </c>
      <c r="F351" s="8">
        <v>316.95</v>
      </c>
      <c r="G351" s="8">
        <v>0.19</v>
      </c>
      <c r="H351" s="8" t="s">
        <v>13</v>
      </c>
      <c r="I351" s="12" t="s">
        <v>18</v>
      </c>
    </row>
    <row r="352" spans="1:9" x14ac:dyDescent="0.3">
      <c r="A352" s="5">
        <v>10351</v>
      </c>
      <c r="B352" s="9">
        <v>44912</v>
      </c>
      <c r="C352" s="6">
        <v>2098</v>
      </c>
      <c r="D352" s="6" t="s">
        <v>19</v>
      </c>
      <c r="E352" s="6">
        <v>8</v>
      </c>
      <c r="F352" s="6">
        <v>306.87</v>
      </c>
      <c r="G352" s="6">
        <v>0.01</v>
      </c>
      <c r="H352" s="6" t="s">
        <v>13</v>
      </c>
      <c r="I352" s="10" t="s">
        <v>11</v>
      </c>
    </row>
    <row r="353" spans="1:9" x14ac:dyDescent="0.3">
      <c r="A353" s="7">
        <v>10352</v>
      </c>
      <c r="B353" s="11">
        <v>44913</v>
      </c>
      <c r="C353" s="8">
        <v>2021</v>
      </c>
      <c r="D353" s="8" t="s">
        <v>14</v>
      </c>
      <c r="E353" s="8">
        <v>3</v>
      </c>
      <c r="F353" s="8">
        <v>283.89999999999998</v>
      </c>
      <c r="G353" s="8">
        <v>0.27</v>
      </c>
      <c r="H353" s="8" t="s">
        <v>10</v>
      </c>
      <c r="I353" s="12" t="s">
        <v>11</v>
      </c>
    </row>
    <row r="354" spans="1:9" x14ac:dyDescent="0.3">
      <c r="A354" s="5">
        <v>10353</v>
      </c>
      <c r="B354" s="9">
        <v>44914</v>
      </c>
      <c r="C354" s="6">
        <v>2030</v>
      </c>
      <c r="D354" s="6" t="s">
        <v>9</v>
      </c>
      <c r="E354" s="6">
        <v>8</v>
      </c>
      <c r="F354" s="6">
        <v>193.31</v>
      </c>
      <c r="G354" s="6">
        <v>0.27</v>
      </c>
      <c r="H354" s="6" t="s">
        <v>15</v>
      </c>
      <c r="I354" s="10" t="s">
        <v>18</v>
      </c>
    </row>
    <row r="355" spans="1:9" x14ac:dyDescent="0.3">
      <c r="A355" s="7">
        <v>10354</v>
      </c>
      <c r="B355" s="11">
        <v>44915</v>
      </c>
      <c r="C355" s="8">
        <v>2097</v>
      </c>
      <c r="D355" s="8" t="s">
        <v>9</v>
      </c>
      <c r="E355" s="8">
        <v>5</v>
      </c>
      <c r="F355" s="8">
        <v>276.51</v>
      </c>
      <c r="G355" s="8">
        <v>0.23</v>
      </c>
      <c r="H355" s="8" t="s">
        <v>10</v>
      </c>
      <c r="I355" s="12" t="s">
        <v>11</v>
      </c>
    </row>
    <row r="356" spans="1:9" x14ac:dyDescent="0.3">
      <c r="A356" s="5">
        <v>10355</v>
      </c>
      <c r="B356" s="9">
        <v>44916</v>
      </c>
      <c r="C356" s="6">
        <v>2028</v>
      </c>
      <c r="D356" s="6" t="s">
        <v>19</v>
      </c>
      <c r="E356" s="6">
        <v>1</v>
      </c>
      <c r="F356" s="6">
        <v>300.26</v>
      </c>
      <c r="G356" s="6">
        <v>0</v>
      </c>
      <c r="H356" s="6" t="s">
        <v>10</v>
      </c>
      <c r="I356" s="10" t="s">
        <v>18</v>
      </c>
    </row>
    <row r="357" spans="1:9" x14ac:dyDescent="0.3">
      <c r="A357" s="7">
        <v>10356</v>
      </c>
      <c r="B357" s="11">
        <v>44917</v>
      </c>
      <c r="C357" s="8">
        <v>2064</v>
      </c>
      <c r="D357" s="8" t="s">
        <v>14</v>
      </c>
      <c r="E357" s="8">
        <v>7</v>
      </c>
      <c r="F357" s="8">
        <v>275.12</v>
      </c>
      <c r="G357" s="8">
        <v>0.02</v>
      </c>
      <c r="H357" s="8" t="s">
        <v>10</v>
      </c>
      <c r="I357" s="12" t="s">
        <v>18</v>
      </c>
    </row>
    <row r="358" spans="1:9" x14ac:dyDescent="0.3">
      <c r="A358" s="5">
        <v>10357</v>
      </c>
      <c r="B358" s="9">
        <v>44918</v>
      </c>
      <c r="C358" s="6">
        <v>2097</v>
      </c>
      <c r="D358" s="6" t="s">
        <v>14</v>
      </c>
      <c r="E358" s="6">
        <v>5</v>
      </c>
      <c r="F358" s="6">
        <v>224.99</v>
      </c>
      <c r="G358" s="6">
        <v>7.0000000000000007E-2</v>
      </c>
      <c r="H358" s="6" t="s">
        <v>13</v>
      </c>
      <c r="I358" s="10" t="s">
        <v>18</v>
      </c>
    </row>
    <row r="359" spans="1:9" x14ac:dyDescent="0.3">
      <c r="A359" s="7">
        <v>10358</v>
      </c>
      <c r="B359" s="11">
        <v>44919</v>
      </c>
      <c r="C359" s="8">
        <v>2069</v>
      </c>
      <c r="D359" s="8" t="s">
        <v>14</v>
      </c>
      <c r="E359" s="8">
        <v>6</v>
      </c>
      <c r="F359" s="8">
        <v>12.26</v>
      </c>
      <c r="G359" s="8">
        <v>0.04</v>
      </c>
      <c r="H359" s="8" t="s">
        <v>13</v>
      </c>
      <c r="I359" s="12" t="s">
        <v>18</v>
      </c>
    </row>
    <row r="360" spans="1:9" x14ac:dyDescent="0.3">
      <c r="A360" s="5">
        <v>10359</v>
      </c>
      <c r="B360" s="9">
        <v>44920</v>
      </c>
      <c r="C360" s="6">
        <v>2061</v>
      </c>
      <c r="D360" s="6" t="s">
        <v>16</v>
      </c>
      <c r="E360" s="6">
        <v>6</v>
      </c>
      <c r="F360" s="6">
        <v>295.60000000000002</v>
      </c>
      <c r="G360" s="6">
        <v>0.12</v>
      </c>
      <c r="H360" s="6" t="s">
        <v>10</v>
      </c>
      <c r="I360" s="10" t="s">
        <v>18</v>
      </c>
    </row>
    <row r="361" spans="1:9" x14ac:dyDescent="0.3">
      <c r="A361" s="7">
        <v>10360</v>
      </c>
      <c r="B361" s="11">
        <v>44921</v>
      </c>
      <c r="C361" s="8">
        <v>2048</v>
      </c>
      <c r="D361" s="8" t="s">
        <v>12</v>
      </c>
      <c r="E361" s="8">
        <v>8</v>
      </c>
      <c r="F361" s="8">
        <v>88.38</v>
      </c>
      <c r="G361" s="8">
        <v>0.28000000000000003</v>
      </c>
      <c r="H361" s="8" t="s">
        <v>13</v>
      </c>
      <c r="I361" s="12" t="s">
        <v>11</v>
      </c>
    </row>
    <row r="362" spans="1:9" x14ac:dyDescent="0.3">
      <c r="A362" s="5">
        <v>10361</v>
      </c>
      <c r="B362" s="9">
        <v>44922</v>
      </c>
      <c r="C362" s="6">
        <v>2019</v>
      </c>
      <c r="D362" s="6" t="s">
        <v>16</v>
      </c>
      <c r="E362" s="6">
        <v>9</v>
      </c>
      <c r="F362" s="6">
        <v>323.08</v>
      </c>
      <c r="G362" s="6">
        <v>0.14000000000000001</v>
      </c>
      <c r="H362" s="6" t="s">
        <v>15</v>
      </c>
      <c r="I362" s="10" t="s">
        <v>18</v>
      </c>
    </row>
    <row r="363" spans="1:9" x14ac:dyDescent="0.3">
      <c r="A363" s="7">
        <v>10362</v>
      </c>
      <c r="B363" s="11">
        <v>44923</v>
      </c>
      <c r="C363" s="8">
        <v>2004</v>
      </c>
      <c r="D363" s="8" t="s">
        <v>12</v>
      </c>
      <c r="E363" s="8">
        <v>2</v>
      </c>
      <c r="F363" s="8">
        <v>380.88</v>
      </c>
      <c r="G363" s="8">
        <v>0</v>
      </c>
      <c r="H363" s="8" t="s">
        <v>10</v>
      </c>
      <c r="I363" s="12" t="s">
        <v>18</v>
      </c>
    </row>
    <row r="364" spans="1:9" x14ac:dyDescent="0.3">
      <c r="A364" s="5">
        <v>10363</v>
      </c>
      <c r="B364" s="9">
        <v>44924</v>
      </c>
      <c r="C364" s="6">
        <v>2035</v>
      </c>
      <c r="D364" s="6" t="s">
        <v>14</v>
      </c>
      <c r="E364" s="6">
        <v>9</v>
      </c>
      <c r="F364" s="6">
        <v>252.72</v>
      </c>
      <c r="G364" s="6">
        <v>0.08</v>
      </c>
      <c r="H364" s="6" t="s">
        <v>13</v>
      </c>
      <c r="I364" s="10" t="s">
        <v>18</v>
      </c>
    </row>
    <row r="365" spans="1:9" x14ac:dyDescent="0.3">
      <c r="A365" s="7">
        <v>10364</v>
      </c>
      <c r="B365" s="11">
        <v>44925</v>
      </c>
      <c r="C365" s="8">
        <v>2064</v>
      </c>
      <c r="D365" s="8" t="s">
        <v>14</v>
      </c>
      <c r="E365" s="8">
        <v>9</v>
      </c>
      <c r="F365" s="8">
        <v>273.47000000000003</v>
      </c>
      <c r="G365" s="8">
        <v>0.01</v>
      </c>
      <c r="H365" s="8" t="s">
        <v>20</v>
      </c>
      <c r="I365" s="12" t="s">
        <v>18</v>
      </c>
    </row>
    <row r="366" spans="1:9" x14ac:dyDescent="0.3">
      <c r="A366" s="5">
        <v>10365</v>
      </c>
      <c r="B366" s="9">
        <v>44926</v>
      </c>
      <c r="C366" s="6">
        <v>2049</v>
      </c>
      <c r="D366" s="6" t="s">
        <v>16</v>
      </c>
      <c r="E366" s="6">
        <v>7</v>
      </c>
      <c r="F366" s="6">
        <v>475.98</v>
      </c>
      <c r="G366" s="6">
        <v>0.01</v>
      </c>
      <c r="H366" s="6" t="s">
        <v>10</v>
      </c>
      <c r="I366" s="10" t="s">
        <v>11</v>
      </c>
    </row>
    <row r="367" spans="1:9" x14ac:dyDescent="0.3">
      <c r="A367" s="7">
        <v>10366</v>
      </c>
      <c r="B367" s="11">
        <v>44927</v>
      </c>
      <c r="C367" s="8">
        <v>2017</v>
      </c>
      <c r="D367" s="8" t="s">
        <v>16</v>
      </c>
      <c r="E367" s="8">
        <v>1</v>
      </c>
      <c r="F367" s="8">
        <v>424.35</v>
      </c>
      <c r="G367" s="8">
        <v>0.08</v>
      </c>
      <c r="H367" s="8" t="s">
        <v>10</v>
      </c>
      <c r="I367" s="12" t="s">
        <v>18</v>
      </c>
    </row>
    <row r="368" spans="1:9" x14ac:dyDescent="0.3">
      <c r="A368" s="5">
        <v>10367</v>
      </c>
      <c r="B368" s="9">
        <v>44928</v>
      </c>
      <c r="C368" s="6">
        <v>2044</v>
      </c>
      <c r="D368" s="6" t="s">
        <v>12</v>
      </c>
      <c r="E368" s="6">
        <v>7</v>
      </c>
      <c r="F368" s="6">
        <v>457.55</v>
      </c>
      <c r="G368" s="6">
        <v>0.08</v>
      </c>
      <c r="H368" s="6" t="s">
        <v>15</v>
      </c>
      <c r="I368" s="10" t="s">
        <v>11</v>
      </c>
    </row>
    <row r="369" spans="1:9" x14ac:dyDescent="0.3">
      <c r="A369" s="7">
        <v>10368</v>
      </c>
      <c r="B369" s="11">
        <v>44929</v>
      </c>
      <c r="C369" s="8">
        <v>2092</v>
      </c>
      <c r="D369" s="8" t="s">
        <v>9</v>
      </c>
      <c r="E369" s="8">
        <v>5</v>
      </c>
      <c r="F369" s="8">
        <v>407.81</v>
      </c>
      <c r="G369" s="8">
        <v>0.24</v>
      </c>
      <c r="H369" s="8" t="s">
        <v>17</v>
      </c>
      <c r="I369" s="12" t="s">
        <v>18</v>
      </c>
    </row>
    <row r="370" spans="1:9" x14ac:dyDescent="0.3">
      <c r="A370" s="5">
        <v>10369</v>
      </c>
      <c r="B370" s="9">
        <v>44930</v>
      </c>
      <c r="C370" s="6">
        <v>2030</v>
      </c>
      <c r="D370" s="6" t="s">
        <v>12</v>
      </c>
      <c r="E370" s="6">
        <v>6</v>
      </c>
      <c r="F370" s="6">
        <v>58.91</v>
      </c>
      <c r="G370" s="6">
        <v>0.28999999999999998</v>
      </c>
      <c r="H370" s="6" t="s">
        <v>17</v>
      </c>
      <c r="I370" s="10" t="s">
        <v>11</v>
      </c>
    </row>
    <row r="371" spans="1:9" x14ac:dyDescent="0.3">
      <c r="A371" s="7">
        <v>10370</v>
      </c>
      <c r="B371" s="11">
        <v>44931</v>
      </c>
      <c r="C371" s="8">
        <v>2093</v>
      </c>
      <c r="D371" s="8" t="s">
        <v>16</v>
      </c>
      <c r="E371" s="8">
        <v>7</v>
      </c>
      <c r="F371" s="8">
        <v>78.75</v>
      </c>
      <c r="G371" s="8">
        <v>0.11</v>
      </c>
      <c r="H371" s="8" t="s">
        <v>15</v>
      </c>
      <c r="I371" s="12" t="s">
        <v>18</v>
      </c>
    </row>
    <row r="372" spans="1:9" x14ac:dyDescent="0.3">
      <c r="A372" s="5">
        <v>10371</v>
      </c>
      <c r="B372" s="9">
        <v>44932</v>
      </c>
      <c r="C372" s="6">
        <v>2046</v>
      </c>
      <c r="D372" s="6" t="s">
        <v>16</v>
      </c>
      <c r="E372" s="6">
        <v>5</v>
      </c>
      <c r="F372" s="6">
        <v>265.68</v>
      </c>
      <c r="G372" s="6">
        <v>0.13</v>
      </c>
      <c r="H372" s="6" t="s">
        <v>15</v>
      </c>
      <c r="I372" s="10" t="s">
        <v>18</v>
      </c>
    </row>
    <row r="373" spans="1:9" x14ac:dyDescent="0.3">
      <c r="A373" s="7">
        <v>10372</v>
      </c>
      <c r="B373" s="11">
        <v>44933</v>
      </c>
      <c r="C373" s="8">
        <v>2006</v>
      </c>
      <c r="D373" s="8" t="s">
        <v>19</v>
      </c>
      <c r="E373" s="8">
        <v>7</v>
      </c>
      <c r="F373" s="8">
        <v>126.8</v>
      </c>
      <c r="G373" s="8">
        <v>0.25</v>
      </c>
      <c r="H373" s="8" t="s">
        <v>15</v>
      </c>
      <c r="I373" s="12" t="s">
        <v>11</v>
      </c>
    </row>
    <row r="374" spans="1:9" x14ac:dyDescent="0.3">
      <c r="A374" s="5">
        <v>10373</v>
      </c>
      <c r="B374" s="9">
        <v>44934</v>
      </c>
      <c r="C374" s="6">
        <v>2099</v>
      </c>
      <c r="D374" s="6" t="s">
        <v>16</v>
      </c>
      <c r="E374" s="6">
        <v>9</v>
      </c>
      <c r="F374" s="6">
        <v>240.96</v>
      </c>
      <c r="G374" s="6">
        <v>0.08</v>
      </c>
      <c r="H374" s="6" t="s">
        <v>17</v>
      </c>
      <c r="I374" s="10" t="s">
        <v>18</v>
      </c>
    </row>
    <row r="375" spans="1:9" x14ac:dyDescent="0.3">
      <c r="A375" s="7">
        <v>10374</v>
      </c>
      <c r="B375" s="11">
        <v>44935</v>
      </c>
      <c r="C375" s="8">
        <v>2037</v>
      </c>
      <c r="D375" s="8" t="s">
        <v>19</v>
      </c>
      <c r="E375" s="8">
        <v>3</v>
      </c>
      <c r="F375" s="8">
        <v>200.21</v>
      </c>
      <c r="G375" s="8">
        <v>0.05</v>
      </c>
      <c r="H375" s="8" t="s">
        <v>15</v>
      </c>
      <c r="I375" s="12" t="s">
        <v>11</v>
      </c>
    </row>
    <row r="376" spans="1:9" x14ac:dyDescent="0.3">
      <c r="A376" s="5">
        <v>10375</v>
      </c>
      <c r="B376" s="9">
        <v>44936</v>
      </c>
      <c r="C376" s="6">
        <v>2024</v>
      </c>
      <c r="D376" s="6" t="s">
        <v>9</v>
      </c>
      <c r="E376" s="6">
        <v>8</v>
      </c>
      <c r="F376" s="6">
        <v>276.95999999999998</v>
      </c>
      <c r="G376" s="6">
        <v>0.26</v>
      </c>
      <c r="H376" s="6" t="s">
        <v>13</v>
      </c>
      <c r="I376" s="10" t="s">
        <v>18</v>
      </c>
    </row>
    <row r="377" spans="1:9" x14ac:dyDescent="0.3">
      <c r="A377" s="7">
        <v>10376</v>
      </c>
      <c r="B377" s="11">
        <v>44937</v>
      </c>
      <c r="C377" s="8">
        <v>2093</v>
      </c>
      <c r="D377" s="8" t="s">
        <v>12</v>
      </c>
      <c r="E377" s="8">
        <v>2</v>
      </c>
      <c r="F377" s="8">
        <v>374.7</v>
      </c>
      <c r="G377" s="8">
        <v>0.01</v>
      </c>
      <c r="H377" s="8" t="s">
        <v>10</v>
      </c>
      <c r="I377" s="12" t="s">
        <v>11</v>
      </c>
    </row>
    <row r="378" spans="1:9" x14ac:dyDescent="0.3">
      <c r="A378" s="5">
        <v>10377</v>
      </c>
      <c r="B378" s="9">
        <v>44938</v>
      </c>
      <c r="C378" s="6">
        <v>2046</v>
      </c>
      <c r="D378" s="6" t="s">
        <v>12</v>
      </c>
      <c r="E378" s="6">
        <v>7</v>
      </c>
      <c r="F378" s="6">
        <v>359.17</v>
      </c>
      <c r="G378" s="6">
        <v>0.19</v>
      </c>
      <c r="H378" s="6" t="s">
        <v>10</v>
      </c>
      <c r="I378" s="10" t="s">
        <v>18</v>
      </c>
    </row>
    <row r="379" spans="1:9" x14ac:dyDescent="0.3">
      <c r="A379" s="7">
        <v>10378</v>
      </c>
      <c r="B379" s="11">
        <v>44939</v>
      </c>
      <c r="C379" s="8">
        <v>2053</v>
      </c>
      <c r="D379" s="8" t="s">
        <v>19</v>
      </c>
      <c r="E379" s="8">
        <v>2</v>
      </c>
      <c r="F379" s="8">
        <v>263.01</v>
      </c>
      <c r="G379" s="8">
        <v>0.17</v>
      </c>
      <c r="H379" s="8" t="s">
        <v>20</v>
      </c>
      <c r="I379" s="12" t="s">
        <v>18</v>
      </c>
    </row>
    <row r="380" spans="1:9" x14ac:dyDescent="0.3">
      <c r="A380" s="5">
        <v>10379</v>
      </c>
      <c r="B380" s="9">
        <v>44940</v>
      </c>
      <c r="C380" s="6">
        <v>2095</v>
      </c>
      <c r="D380" s="6" t="s">
        <v>12</v>
      </c>
      <c r="E380" s="6">
        <v>4</v>
      </c>
      <c r="F380" s="6">
        <v>412.08</v>
      </c>
      <c r="G380" s="6">
        <v>0.1</v>
      </c>
      <c r="H380" s="6" t="s">
        <v>20</v>
      </c>
      <c r="I380" s="10" t="s">
        <v>11</v>
      </c>
    </row>
    <row r="381" spans="1:9" x14ac:dyDescent="0.3">
      <c r="A381" s="7">
        <v>10380</v>
      </c>
      <c r="B381" s="11">
        <v>44941</v>
      </c>
      <c r="C381" s="8">
        <v>2099</v>
      </c>
      <c r="D381" s="8" t="s">
        <v>16</v>
      </c>
      <c r="E381" s="8">
        <v>7</v>
      </c>
      <c r="F381" s="8">
        <v>218.28</v>
      </c>
      <c r="G381" s="8">
        <v>0.09</v>
      </c>
      <c r="H381" s="8" t="s">
        <v>10</v>
      </c>
      <c r="I381" s="12" t="s">
        <v>18</v>
      </c>
    </row>
    <row r="382" spans="1:9" x14ac:dyDescent="0.3">
      <c r="A382" s="5">
        <v>10381</v>
      </c>
      <c r="B382" s="9">
        <v>44942</v>
      </c>
      <c r="C382" s="6">
        <v>2060</v>
      </c>
      <c r="D382" s="6" t="s">
        <v>14</v>
      </c>
      <c r="E382" s="6">
        <v>3</v>
      </c>
      <c r="F382" s="6">
        <v>448.87</v>
      </c>
      <c r="G382" s="6">
        <v>0.23</v>
      </c>
      <c r="H382" s="6" t="s">
        <v>13</v>
      </c>
      <c r="I382" s="10" t="s">
        <v>18</v>
      </c>
    </row>
    <row r="383" spans="1:9" x14ac:dyDescent="0.3">
      <c r="A383" s="7">
        <v>10382</v>
      </c>
      <c r="B383" s="11">
        <v>44943</v>
      </c>
      <c r="C383" s="8">
        <v>2097</v>
      </c>
      <c r="D383" s="8" t="s">
        <v>19</v>
      </c>
      <c r="E383" s="8">
        <v>2</v>
      </c>
      <c r="F383" s="8">
        <v>40.28</v>
      </c>
      <c r="G383" s="8">
        <v>0.03</v>
      </c>
      <c r="H383" s="8" t="s">
        <v>17</v>
      </c>
      <c r="I383" s="12" t="s">
        <v>18</v>
      </c>
    </row>
    <row r="384" spans="1:9" x14ac:dyDescent="0.3">
      <c r="A384" s="5">
        <v>10383</v>
      </c>
      <c r="B384" s="9">
        <v>44944</v>
      </c>
      <c r="C384" s="6">
        <v>2063</v>
      </c>
      <c r="D384" s="6" t="s">
        <v>12</v>
      </c>
      <c r="E384" s="6">
        <v>7</v>
      </c>
      <c r="F384" s="6">
        <v>477.56</v>
      </c>
      <c r="G384" s="6">
        <v>7.0000000000000007E-2</v>
      </c>
      <c r="H384" s="6" t="s">
        <v>17</v>
      </c>
      <c r="I384" s="10" t="s">
        <v>18</v>
      </c>
    </row>
    <row r="385" spans="1:9" x14ac:dyDescent="0.3">
      <c r="A385" s="7">
        <v>10384</v>
      </c>
      <c r="B385" s="11">
        <v>44945</v>
      </c>
      <c r="C385" s="8">
        <v>2085</v>
      </c>
      <c r="D385" s="8" t="s">
        <v>19</v>
      </c>
      <c r="E385" s="8">
        <v>1</v>
      </c>
      <c r="F385" s="8">
        <v>329.07</v>
      </c>
      <c r="G385" s="8">
        <v>0.22</v>
      </c>
      <c r="H385" s="8" t="s">
        <v>13</v>
      </c>
      <c r="I385" s="12" t="s">
        <v>18</v>
      </c>
    </row>
    <row r="386" spans="1:9" x14ac:dyDescent="0.3">
      <c r="A386" s="5">
        <v>10385</v>
      </c>
      <c r="B386" s="9">
        <v>44946</v>
      </c>
      <c r="C386" s="6">
        <v>2032</v>
      </c>
      <c r="D386" s="6" t="s">
        <v>19</v>
      </c>
      <c r="E386" s="6">
        <v>8</v>
      </c>
      <c r="F386" s="6">
        <v>193.14</v>
      </c>
      <c r="G386" s="6">
        <v>0.16</v>
      </c>
      <c r="H386" s="6" t="s">
        <v>17</v>
      </c>
      <c r="I386" s="10" t="s">
        <v>18</v>
      </c>
    </row>
    <row r="387" spans="1:9" x14ac:dyDescent="0.3">
      <c r="A387" s="7">
        <v>10386</v>
      </c>
      <c r="B387" s="11">
        <v>44947</v>
      </c>
      <c r="C387" s="8">
        <v>2087</v>
      </c>
      <c r="D387" s="8" t="s">
        <v>14</v>
      </c>
      <c r="E387" s="8">
        <v>3</v>
      </c>
      <c r="F387" s="8">
        <v>102.59</v>
      </c>
      <c r="G387" s="8">
        <v>0.04</v>
      </c>
      <c r="H387" s="8" t="s">
        <v>15</v>
      </c>
      <c r="I387" s="12" t="s">
        <v>11</v>
      </c>
    </row>
    <row r="388" spans="1:9" x14ac:dyDescent="0.3">
      <c r="A388" s="5">
        <v>10387</v>
      </c>
      <c r="B388" s="9">
        <v>44948</v>
      </c>
      <c r="C388" s="6">
        <v>2033</v>
      </c>
      <c r="D388" s="6" t="s">
        <v>16</v>
      </c>
      <c r="E388" s="6">
        <v>2</v>
      </c>
      <c r="F388" s="6">
        <v>242.2</v>
      </c>
      <c r="G388" s="6">
        <v>0.26</v>
      </c>
      <c r="H388" s="6" t="s">
        <v>10</v>
      </c>
      <c r="I388" s="10" t="s">
        <v>11</v>
      </c>
    </row>
    <row r="389" spans="1:9" x14ac:dyDescent="0.3">
      <c r="A389" s="7">
        <v>10388</v>
      </c>
      <c r="B389" s="11">
        <v>44949</v>
      </c>
      <c r="C389" s="8">
        <v>2067</v>
      </c>
      <c r="D389" s="8" t="s">
        <v>19</v>
      </c>
      <c r="E389" s="8">
        <v>3</v>
      </c>
      <c r="F389" s="8">
        <v>101.31</v>
      </c>
      <c r="G389" s="8">
        <v>0.12</v>
      </c>
      <c r="H389" s="8" t="s">
        <v>10</v>
      </c>
      <c r="I389" s="12" t="s">
        <v>11</v>
      </c>
    </row>
    <row r="390" spans="1:9" x14ac:dyDescent="0.3">
      <c r="A390" s="5">
        <v>10389</v>
      </c>
      <c r="B390" s="9">
        <v>44950</v>
      </c>
      <c r="C390" s="6">
        <v>2018</v>
      </c>
      <c r="D390" s="6" t="s">
        <v>12</v>
      </c>
      <c r="E390" s="6">
        <v>5</v>
      </c>
      <c r="F390" s="6">
        <v>87.33</v>
      </c>
      <c r="G390" s="6">
        <v>0.25</v>
      </c>
      <c r="H390" s="6" t="s">
        <v>13</v>
      </c>
      <c r="I390" s="10" t="s">
        <v>18</v>
      </c>
    </row>
    <row r="391" spans="1:9" x14ac:dyDescent="0.3">
      <c r="A391" s="7">
        <v>10390</v>
      </c>
      <c r="B391" s="11">
        <v>44951</v>
      </c>
      <c r="C391" s="8">
        <v>2025</v>
      </c>
      <c r="D391" s="8" t="s">
        <v>9</v>
      </c>
      <c r="E391" s="8">
        <v>8</v>
      </c>
      <c r="F391" s="8">
        <v>310.58999999999997</v>
      </c>
      <c r="G391" s="8">
        <v>0.24</v>
      </c>
      <c r="H391" s="8" t="s">
        <v>17</v>
      </c>
      <c r="I391" s="12" t="s">
        <v>11</v>
      </c>
    </row>
    <row r="392" spans="1:9" x14ac:dyDescent="0.3">
      <c r="A392" s="5">
        <v>10391</v>
      </c>
      <c r="B392" s="9">
        <v>44952</v>
      </c>
      <c r="C392" s="6">
        <v>2095</v>
      </c>
      <c r="D392" s="6" t="s">
        <v>19</v>
      </c>
      <c r="E392" s="6">
        <v>7</v>
      </c>
      <c r="F392" s="6">
        <v>263.93</v>
      </c>
      <c r="G392" s="6">
        <v>0.19</v>
      </c>
      <c r="H392" s="6" t="s">
        <v>20</v>
      </c>
      <c r="I392" s="10" t="s">
        <v>18</v>
      </c>
    </row>
    <row r="393" spans="1:9" x14ac:dyDescent="0.3">
      <c r="A393" s="7">
        <v>10392</v>
      </c>
      <c r="B393" s="11">
        <v>44953</v>
      </c>
      <c r="C393" s="8">
        <v>2054</v>
      </c>
      <c r="D393" s="8" t="s">
        <v>19</v>
      </c>
      <c r="E393" s="8">
        <v>7</v>
      </c>
      <c r="F393" s="8">
        <v>336.7</v>
      </c>
      <c r="G393" s="8">
        <v>0.15</v>
      </c>
      <c r="H393" s="8" t="s">
        <v>20</v>
      </c>
      <c r="I393" s="12" t="s">
        <v>18</v>
      </c>
    </row>
    <row r="394" spans="1:9" x14ac:dyDescent="0.3">
      <c r="A394" s="5">
        <v>10393</v>
      </c>
      <c r="B394" s="9">
        <v>44954</v>
      </c>
      <c r="C394" s="6">
        <v>2058</v>
      </c>
      <c r="D394" s="6" t="s">
        <v>14</v>
      </c>
      <c r="E394" s="6">
        <v>7</v>
      </c>
      <c r="F394" s="6">
        <v>465.15</v>
      </c>
      <c r="G394" s="6">
        <v>0.28999999999999998</v>
      </c>
      <c r="H394" s="6" t="s">
        <v>17</v>
      </c>
      <c r="I394" s="10" t="s">
        <v>18</v>
      </c>
    </row>
    <row r="395" spans="1:9" x14ac:dyDescent="0.3">
      <c r="A395" s="7">
        <v>10394</v>
      </c>
      <c r="B395" s="11">
        <v>44955</v>
      </c>
      <c r="C395" s="8">
        <v>2067</v>
      </c>
      <c r="D395" s="8" t="s">
        <v>16</v>
      </c>
      <c r="E395" s="8">
        <v>8</v>
      </c>
      <c r="F395" s="8">
        <v>268.47000000000003</v>
      </c>
      <c r="G395" s="8">
        <v>0.04</v>
      </c>
      <c r="H395" s="8" t="s">
        <v>20</v>
      </c>
      <c r="I395" s="12" t="s">
        <v>18</v>
      </c>
    </row>
    <row r="396" spans="1:9" x14ac:dyDescent="0.3">
      <c r="A396" s="5">
        <v>10395</v>
      </c>
      <c r="B396" s="9">
        <v>44956</v>
      </c>
      <c r="C396" s="6">
        <v>2046</v>
      </c>
      <c r="D396" s="6" t="s">
        <v>9</v>
      </c>
      <c r="E396" s="6">
        <v>1</v>
      </c>
      <c r="F396" s="6">
        <v>292.56</v>
      </c>
      <c r="G396" s="6">
        <v>0.22</v>
      </c>
      <c r="H396" s="6" t="s">
        <v>13</v>
      </c>
      <c r="I396" s="10" t="s">
        <v>11</v>
      </c>
    </row>
    <row r="397" spans="1:9" x14ac:dyDescent="0.3">
      <c r="A397" s="7">
        <v>10396</v>
      </c>
      <c r="B397" s="11">
        <v>44957</v>
      </c>
      <c r="C397" s="8">
        <v>2024</v>
      </c>
      <c r="D397" s="8" t="s">
        <v>12</v>
      </c>
      <c r="E397" s="8">
        <v>4</v>
      </c>
      <c r="F397" s="8">
        <v>49.37</v>
      </c>
      <c r="G397" s="8">
        <v>0.06</v>
      </c>
      <c r="H397" s="8" t="s">
        <v>13</v>
      </c>
      <c r="I397" s="12" t="s">
        <v>18</v>
      </c>
    </row>
    <row r="398" spans="1:9" x14ac:dyDescent="0.3">
      <c r="A398" s="5">
        <v>10397</v>
      </c>
      <c r="B398" s="9">
        <v>44958</v>
      </c>
      <c r="C398" s="6">
        <v>2032</v>
      </c>
      <c r="D398" s="6" t="s">
        <v>9</v>
      </c>
      <c r="E398" s="6">
        <v>6</v>
      </c>
      <c r="F398" s="6">
        <v>360.23</v>
      </c>
      <c r="G398" s="6">
        <v>0.1</v>
      </c>
      <c r="H398" s="6" t="s">
        <v>17</v>
      </c>
      <c r="I398" s="10" t="s">
        <v>11</v>
      </c>
    </row>
    <row r="399" spans="1:9" x14ac:dyDescent="0.3">
      <c r="A399" s="7">
        <v>10398</v>
      </c>
      <c r="B399" s="11">
        <v>44959</v>
      </c>
      <c r="C399" s="8">
        <v>2047</v>
      </c>
      <c r="D399" s="8" t="s">
        <v>12</v>
      </c>
      <c r="E399" s="8">
        <v>9</v>
      </c>
      <c r="F399" s="8">
        <v>202.95</v>
      </c>
      <c r="G399" s="8">
        <v>0.09</v>
      </c>
      <c r="H399" s="8" t="s">
        <v>20</v>
      </c>
      <c r="I399" s="12" t="s">
        <v>18</v>
      </c>
    </row>
    <row r="400" spans="1:9" x14ac:dyDescent="0.3">
      <c r="A400" s="5">
        <v>10399</v>
      </c>
      <c r="B400" s="9">
        <v>44960</v>
      </c>
      <c r="C400" s="6">
        <v>2086</v>
      </c>
      <c r="D400" s="6" t="s">
        <v>16</v>
      </c>
      <c r="E400" s="6">
        <v>2</v>
      </c>
      <c r="F400" s="6">
        <v>488.48</v>
      </c>
      <c r="G400" s="6">
        <v>0.28000000000000003</v>
      </c>
      <c r="H400" s="6" t="s">
        <v>13</v>
      </c>
      <c r="I400" s="10" t="s">
        <v>11</v>
      </c>
    </row>
    <row r="401" spans="1:9" x14ac:dyDescent="0.3">
      <c r="A401" s="7">
        <v>10400</v>
      </c>
      <c r="B401" s="11">
        <v>44961</v>
      </c>
      <c r="C401" s="8">
        <v>2023</v>
      </c>
      <c r="D401" s="8" t="s">
        <v>12</v>
      </c>
      <c r="E401" s="8">
        <v>1</v>
      </c>
      <c r="F401" s="8">
        <v>412.47</v>
      </c>
      <c r="G401" s="8">
        <v>0.28999999999999998</v>
      </c>
      <c r="H401" s="8" t="s">
        <v>13</v>
      </c>
      <c r="I401" s="12" t="s">
        <v>11</v>
      </c>
    </row>
    <row r="402" spans="1:9" x14ac:dyDescent="0.3">
      <c r="A402" s="5">
        <v>10401</v>
      </c>
      <c r="B402" s="9">
        <v>44962</v>
      </c>
      <c r="C402" s="6">
        <v>2066</v>
      </c>
      <c r="D402" s="6" t="s">
        <v>14</v>
      </c>
      <c r="E402" s="6">
        <v>2</v>
      </c>
      <c r="F402" s="6">
        <v>263.63</v>
      </c>
      <c r="G402" s="6">
        <v>0.05</v>
      </c>
      <c r="H402" s="6" t="s">
        <v>15</v>
      </c>
      <c r="I402" s="10" t="s">
        <v>11</v>
      </c>
    </row>
    <row r="403" spans="1:9" x14ac:dyDescent="0.3">
      <c r="A403" s="7">
        <v>10402</v>
      </c>
      <c r="B403" s="11">
        <v>44963</v>
      </c>
      <c r="C403" s="8">
        <v>2027</v>
      </c>
      <c r="D403" s="8" t="s">
        <v>14</v>
      </c>
      <c r="E403" s="8">
        <v>7</v>
      </c>
      <c r="F403" s="8">
        <v>66</v>
      </c>
      <c r="G403" s="8">
        <v>0.01</v>
      </c>
      <c r="H403" s="8" t="s">
        <v>15</v>
      </c>
      <c r="I403" s="12" t="s">
        <v>11</v>
      </c>
    </row>
    <row r="404" spans="1:9" x14ac:dyDescent="0.3">
      <c r="A404" s="5">
        <v>10403</v>
      </c>
      <c r="B404" s="9">
        <v>44964</v>
      </c>
      <c r="C404" s="6">
        <v>2002</v>
      </c>
      <c r="D404" s="6" t="s">
        <v>14</v>
      </c>
      <c r="E404" s="6">
        <v>3</v>
      </c>
      <c r="F404" s="6">
        <v>430.41</v>
      </c>
      <c r="G404" s="6">
        <v>0.22</v>
      </c>
      <c r="H404" s="6" t="s">
        <v>13</v>
      </c>
      <c r="I404" s="10" t="s">
        <v>11</v>
      </c>
    </row>
    <row r="405" spans="1:9" x14ac:dyDescent="0.3">
      <c r="A405" s="7">
        <v>10404</v>
      </c>
      <c r="B405" s="11">
        <v>44965</v>
      </c>
      <c r="C405" s="8">
        <v>2090</v>
      </c>
      <c r="D405" s="8" t="s">
        <v>14</v>
      </c>
      <c r="E405" s="8">
        <v>2</v>
      </c>
      <c r="F405" s="8">
        <v>400.89</v>
      </c>
      <c r="G405" s="8">
        <v>0.13</v>
      </c>
      <c r="H405" s="8" t="s">
        <v>17</v>
      </c>
      <c r="I405" s="12" t="s">
        <v>11</v>
      </c>
    </row>
    <row r="406" spans="1:9" x14ac:dyDescent="0.3">
      <c r="A406" s="5">
        <v>10405</v>
      </c>
      <c r="B406" s="9">
        <v>44966</v>
      </c>
      <c r="C406" s="6">
        <v>2017</v>
      </c>
      <c r="D406" s="6" t="s">
        <v>9</v>
      </c>
      <c r="E406" s="6">
        <v>7</v>
      </c>
      <c r="F406" s="6">
        <v>96.37</v>
      </c>
      <c r="G406" s="6">
        <v>0.03</v>
      </c>
      <c r="H406" s="6" t="s">
        <v>10</v>
      </c>
      <c r="I406" s="10" t="s">
        <v>18</v>
      </c>
    </row>
    <row r="407" spans="1:9" x14ac:dyDescent="0.3">
      <c r="A407" s="7">
        <v>10406</v>
      </c>
      <c r="B407" s="11">
        <v>44967</v>
      </c>
      <c r="C407" s="8">
        <v>2033</v>
      </c>
      <c r="D407" s="8" t="s">
        <v>16</v>
      </c>
      <c r="E407" s="8">
        <v>2</v>
      </c>
      <c r="F407" s="8">
        <v>151.16</v>
      </c>
      <c r="G407" s="8">
        <v>0.21</v>
      </c>
      <c r="H407" s="8" t="s">
        <v>10</v>
      </c>
      <c r="I407" s="12" t="s">
        <v>11</v>
      </c>
    </row>
    <row r="408" spans="1:9" x14ac:dyDescent="0.3">
      <c r="A408" s="5">
        <v>10407</v>
      </c>
      <c r="B408" s="9">
        <v>44968</v>
      </c>
      <c r="C408" s="6">
        <v>2009</v>
      </c>
      <c r="D408" s="6" t="s">
        <v>12</v>
      </c>
      <c r="E408" s="6">
        <v>3</v>
      </c>
      <c r="F408" s="6">
        <v>397.74</v>
      </c>
      <c r="G408" s="6">
        <v>0.16</v>
      </c>
      <c r="H408" s="6" t="s">
        <v>13</v>
      </c>
      <c r="I408" s="10" t="s">
        <v>18</v>
      </c>
    </row>
    <row r="409" spans="1:9" x14ac:dyDescent="0.3">
      <c r="A409" s="7">
        <v>10408</v>
      </c>
      <c r="B409" s="11">
        <v>44969</v>
      </c>
      <c r="C409" s="8">
        <v>2043</v>
      </c>
      <c r="D409" s="8" t="s">
        <v>12</v>
      </c>
      <c r="E409" s="8">
        <v>7</v>
      </c>
      <c r="F409" s="8">
        <v>96.69</v>
      </c>
      <c r="G409" s="8">
        <v>0.28999999999999998</v>
      </c>
      <c r="H409" s="8" t="s">
        <v>13</v>
      </c>
      <c r="I409" s="12" t="s">
        <v>11</v>
      </c>
    </row>
    <row r="410" spans="1:9" x14ac:dyDescent="0.3">
      <c r="A410" s="5">
        <v>10409</v>
      </c>
      <c r="B410" s="9">
        <v>44970</v>
      </c>
      <c r="C410" s="6">
        <v>2048</v>
      </c>
      <c r="D410" s="6" t="s">
        <v>14</v>
      </c>
      <c r="E410" s="6">
        <v>4</v>
      </c>
      <c r="F410" s="6">
        <v>459.29</v>
      </c>
      <c r="G410" s="6">
        <v>7.0000000000000007E-2</v>
      </c>
      <c r="H410" s="6" t="s">
        <v>13</v>
      </c>
      <c r="I410" s="10" t="s">
        <v>18</v>
      </c>
    </row>
    <row r="411" spans="1:9" x14ac:dyDescent="0.3">
      <c r="A411" s="7">
        <v>10410</v>
      </c>
      <c r="B411" s="11">
        <v>44971</v>
      </c>
      <c r="C411" s="8">
        <v>2039</v>
      </c>
      <c r="D411" s="8" t="s">
        <v>14</v>
      </c>
      <c r="E411" s="8">
        <v>1</v>
      </c>
      <c r="F411" s="8">
        <v>215.14</v>
      </c>
      <c r="G411" s="8">
        <v>0.12</v>
      </c>
      <c r="H411" s="8" t="s">
        <v>17</v>
      </c>
      <c r="I411" s="12" t="s">
        <v>11</v>
      </c>
    </row>
    <row r="412" spans="1:9" x14ac:dyDescent="0.3">
      <c r="A412" s="5">
        <v>10411</v>
      </c>
      <c r="B412" s="9">
        <v>44972</v>
      </c>
      <c r="C412" s="6">
        <v>2093</v>
      </c>
      <c r="D412" s="6" t="s">
        <v>19</v>
      </c>
      <c r="E412" s="6">
        <v>5</v>
      </c>
      <c r="F412" s="6">
        <v>48.08</v>
      </c>
      <c r="G412" s="6">
        <v>0.16</v>
      </c>
      <c r="H412" s="6" t="s">
        <v>15</v>
      </c>
      <c r="I412" s="10" t="s">
        <v>11</v>
      </c>
    </row>
    <row r="413" spans="1:9" x14ac:dyDescent="0.3">
      <c r="A413" s="7">
        <v>10412</v>
      </c>
      <c r="B413" s="11">
        <v>44973</v>
      </c>
      <c r="C413" s="8">
        <v>2042</v>
      </c>
      <c r="D413" s="8" t="s">
        <v>16</v>
      </c>
      <c r="E413" s="8">
        <v>9</v>
      </c>
      <c r="F413" s="8">
        <v>408.8</v>
      </c>
      <c r="G413" s="8">
        <v>0.24</v>
      </c>
      <c r="H413" s="8" t="s">
        <v>13</v>
      </c>
      <c r="I413" s="12" t="s">
        <v>18</v>
      </c>
    </row>
    <row r="414" spans="1:9" x14ac:dyDescent="0.3">
      <c r="A414" s="5">
        <v>10413</v>
      </c>
      <c r="B414" s="9">
        <v>44974</v>
      </c>
      <c r="C414" s="6">
        <v>2026</v>
      </c>
      <c r="D414" s="6" t="s">
        <v>9</v>
      </c>
      <c r="E414" s="6">
        <v>8</v>
      </c>
      <c r="F414" s="6">
        <v>189.89</v>
      </c>
      <c r="G414" s="6">
        <v>0.16</v>
      </c>
      <c r="H414" s="6" t="s">
        <v>13</v>
      </c>
      <c r="I414" s="10" t="s">
        <v>11</v>
      </c>
    </row>
    <row r="415" spans="1:9" x14ac:dyDescent="0.3">
      <c r="A415" s="7">
        <v>10414</v>
      </c>
      <c r="B415" s="11">
        <v>44975</v>
      </c>
      <c r="C415" s="8">
        <v>2099</v>
      </c>
      <c r="D415" s="8" t="s">
        <v>12</v>
      </c>
      <c r="E415" s="8">
        <v>9</v>
      </c>
      <c r="F415" s="8">
        <v>265.62</v>
      </c>
      <c r="G415" s="8">
        <v>0.18</v>
      </c>
      <c r="H415" s="8" t="s">
        <v>20</v>
      </c>
      <c r="I415" s="12" t="s">
        <v>11</v>
      </c>
    </row>
    <row r="416" spans="1:9" x14ac:dyDescent="0.3">
      <c r="A416" s="5">
        <v>10415</v>
      </c>
      <c r="B416" s="9">
        <v>44976</v>
      </c>
      <c r="C416" s="6">
        <v>2050</v>
      </c>
      <c r="D416" s="6" t="s">
        <v>19</v>
      </c>
      <c r="E416" s="6">
        <v>9</v>
      </c>
      <c r="F416" s="6">
        <v>60.59</v>
      </c>
      <c r="G416" s="6">
        <v>7.0000000000000007E-2</v>
      </c>
      <c r="H416" s="6" t="s">
        <v>17</v>
      </c>
      <c r="I416" s="10" t="s">
        <v>11</v>
      </c>
    </row>
    <row r="417" spans="1:9" x14ac:dyDescent="0.3">
      <c r="A417" s="7">
        <v>10416</v>
      </c>
      <c r="B417" s="11">
        <v>44977</v>
      </c>
      <c r="C417" s="8">
        <v>2025</v>
      </c>
      <c r="D417" s="8" t="s">
        <v>19</v>
      </c>
      <c r="E417" s="8">
        <v>7</v>
      </c>
      <c r="F417" s="8">
        <v>6.28</v>
      </c>
      <c r="G417" s="8">
        <v>0.25</v>
      </c>
      <c r="H417" s="8" t="s">
        <v>13</v>
      </c>
      <c r="I417" s="12" t="s">
        <v>18</v>
      </c>
    </row>
    <row r="418" spans="1:9" x14ac:dyDescent="0.3">
      <c r="A418" s="5">
        <v>10417</v>
      </c>
      <c r="B418" s="9">
        <v>44978</v>
      </c>
      <c r="C418" s="6">
        <v>2024</v>
      </c>
      <c r="D418" s="6" t="s">
        <v>12</v>
      </c>
      <c r="E418" s="6">
        <v>4</v>
      </c>
      <c r="F418" s="6">
        <v>320.8</v>
      </c>
      <c r="G418" s="6">
        <v>0.13</v>
      </c>
      <c r="H418" s="6" t="s">
        <v>20</v>
      </c>
      <c r="I418" s="10" t="s">
        <v>11</v>
      </c>
    </row>
    <row r="419" spans="1:9" x14ac:dyDescent="0.3">
      <c r="A419" s="7">
        <v>10418</v>
      </c>
      <c r="B419" s="11">
        <v>44979</v>
      </c>
      <c r="C419" s="8">
        <v>2013</v>
      </c>
      <c r="D419" s="8" t="s">
        <v>9</v>
      </c>
      <c r="E419" s="8">
        <v>5</v>
      </c>
      <c r="F419" s="8">
        <v>260.01</v>
      </c>
      <c r="G419" s="8">
        <v>0.04</v>
      </c>
      <c r="H419" s="8" t="s">
        <v>10</v>
      </c>
      <c r="I419" s="12" t="s">
        <v>18</v>
      </c>
    </row>
    <row r="420" spans="1:9" x14ac:dyDescent="0.3">
      <c r="A420" s="5">
        <v>10419</v>
      </c>
      <c r="B420" s="9">
        <v>44980</v>
      </c>
      <c r="C420" s="6">
        <v>2060</v>
      </c>
      <c r="D420" s="6" t="s">
        <v>19</v>
      </c>
      <c r="E420" s="6">
        <v>1</v>
      </c>
      <c r="F420" s="6">
        <v>298.8</v>
      </c>
      <c r="G420" s="6">
        <v>0.2</v>
      </c>
      <c r="H420" s="6" t="s">
        <v>13</v>
      </c>
      <c r="I420" s="10" t="s">
        <v>11</v>
      </c>
    </row>
    <row r="421" spans="1:9" x14ac:dyDescent="0.3">
      <c r="A421" s="7">
        <v>10420</v>
      </c>
      <c r="B421" s="11">
        <v>44981</v>
      </c>
      <c r="C421" s="8">
        <v>2007</v>
      </c>
      <c r="D421" s="8" t="s">
        <v>19</v>
      </c>
      <c r="E421" s="8">
        <v>1</v>
      </c>
      <c r="F421" s="8">
        <v>397.9</v>
      </c>
      <c r="G421" s="8">
        <v>0.06</v>
      </c>
      <c r="H421" s="8" t="s">
        <v>13</v>
      </c>
      <c r="I421" s="12" t="s">
        <v>11</v>
      </c>
    </row>
    <row r="422" spans="1:9" x14ac:dyDescent="0.3">
      <c r="A422" s="5">
        <v>10421</v>
      </c>
      <c r="B422" s="9">
        <v>44982</v>
      </c>
      <c r="C422" s="6">
        <v>2057</v>
      </c>
      <c r="D422" s="6" t="s">
        <v>16</v>
      </c>
      <c r="E422" s="6">
        <v>3</v>
      </c>
      <c r="F422" s="6">
        <v>325.07</v>
      </c>
      <c r="G422" s="6">
        <v>0.03</v>
      </c>
      <c r="H422" s="6" t="s">
        <v>20</v>
      </c>
      <c r="I422" s="10" t="s">
        <v>18</v>
      </c>
    </row>
    <row r="423" spans="1:9" x14ac:dyDescent="0.3">
      <c r="A423" s="7">
        <v>10422</v>
      </c>
      <c r="B423" s="11">
        <v>44983</v>
      </c>
      <c r="C423" s="8">
        <v>2036</v>
      </c>
      <c r="D423" s="8" t="s">
        <v>9</v>
      </c>
      <c r="E423" s="8">
        <v>8</v>
      </c>
      <c r="F423" s="8">
        <v>91.51</v>
      </c>
      <c r="G423" s="8">
        <v>0.26</v>
      </c>
      <c r="H423" s="8" t="s">
        <v>17</v>
      </c>
      <c r="I423" s="12" t="s">
        <v>11</v>
      </c>
    </row>
    <row r="424" spans="1:9" x14ac:dyDescent="0.3">
      <c r="A424" s="5">
        <v>10423</v>
      </c>
      <c r="B424" s="9">
        <v>44984</v>
      </c>
      <c r="C424" s="6">
        <v>2045</v>
      </c>
      <c r="D424" s="6" t="s">
        <v>19</v>
      </c>
      <c r="E424" s="6">
        <v>2</v>
      </c>
      <c r="F424" s="6">
        <v>183.58</v>
      </c>
      <c r="G424" s="6">
        <v>0.14000000000000001</v>
      </c>
      <c r="H424" s="6" t="s">
        <v>13</v>
      </c>
      <c r="I424" s="10" t="s">
        <v>11</v>
      </c>
    </row>
    <row r="425" spans="1:9" x14ac:dyDescent="0.3">
      <c r="A425" s="7">
        <v>10424</v>
      </c>
      <c r="B425" s="11">
        <v>44985</v>
      </c>
      <c r="C425" s="8">
        <v>2020</v>
      </c>
      <c r="D425" s="8" t="s">
        <v>9</v>
      </c>
      <c r="E425" s="8">
        <v>4</v>
      </c>
      <c r="F425" s="8">
        <v>453.42</v>
      </c>
      <c r="G425" s="8">
        <v>0.22</v>
      </c>
      <c r="H425" s="8" t="s">
        <v>10</v>
      </c>
      <c r="I425" s="12" t="s">
        <v>18</v>
      </c>
    </row>
    <row r="426" spans="1:9" x14ac:dyDescent="0.3">
      <c r="A426" s="5">
        <v>10425</v>
      </c>
      <c r="B426" s="9">
        <v>44986</v>
      </c>
      <c r="C426" s="6">
        <v>2065</v>
      </c>
      <c r="D426" s="6" t="s">
        <v>12</v>
      </c>
      <c r="E426" s="6">
        <v>2</v>
      </c>
      <c r="F426" s="6">
        <v>386.12</v>
      </c>
      <c r="G426" s="6">
        <v>0.09</v>
      </c>
      <c r="H426" s="6" t="s">
        <v>13</v>
      </c>
      <c r="I426" s="10" t="s">
        <v>11</v>
      </c>
    </row>
    <row r="427" spans="1:9" x14ac:dyDescent="0.3">
      <c r="A427" s="7">
        <v>10426</v>
      </c>
      <c r="B427" s="11">
        <v>44987</v>
      </c>
      <c r="C427" s="8">
        <v>2008</v>
      </c>
      <c r="D427" s="8" t="s">
        <v>14</v>
      </c>
      <c r="E427" s="8">
        <v>5</v>
      </c>
      <c r="F427" s="8">
        <v>280.54000000000002</v>
      </c>
      <c r="G427" s="8">
        <v>0.24</v>
      </c>
      <c r="H427" s="8" t="s">
        <v>10</v>
      </c>
      <c r="I427" s="12" t="s">
        <v>18</v>
      </c>
    </row>
    <row r="428" spans="1:9" x14ac:dyDescent="0.3">
      <c r="A428" s="5">
        <v>10427</v>
      </c>
      <c r="B428" s="9">
        <v>44988</v>
      </c>
      <c r="C428" s="6">
        <v>2016</v>
      </c>
      <c r="D428" s="6" t="s">
        <v>19</v>
      </c>
      <c r="E428" s="6">
        <v>9</v>
      </c>
      <c r="F428" s="6">
        <v>131.54</v>
      </c>
      <c r="G428" s="6">
        <v>0.03</v>
      </c>
      <c r="H428" s="6" t="s">
        <v>15</v>
      </c>
      <c r="I428" s="10" t="s">
        <v>18</v>
      </c>
    </row>
    <row r="429" spans="1:9" x14ac:dyDescent="0.3">
      <c r="A429" s="7">
        <v>10428</v>
      </c>
      <c r="B429" s="11">
        <v>44989</v>
      </c>
      <c r="C429" s="8">
        <v>2014</v>
      </c>
      <c r="D429" s="8" t="s">
        <v>16</v>
      </c>
      <c r="E429" s="8">
        <v>1</v>
      </c>
      <c r="F429" s="8">
        <v>154.52000000000001</v>
      </c>
      <c r="G429" s="8">
        <v>0.11</v>
      </c>
      <c r="H429" s="8" t="s">
        <v>15</v>
      </c>
      <c r="I429" s="12" t="s">
        <v>18</v>
      </c>
    </row>
    <row r="430" spans="1:9" x14ac:dyDescent="0.3">
      <c r="A430" s="5">
        <v>10429</v>
      </c>
      <c r="B430" s="9">
        <v>44990</v>
      </c>
      <c r="C430" s="6">
        <v>2076</v>
      </c>
      <c r="D430" s="6" t="s">
        <v>12</v>
      </c>
      <c r="E430" s="6">
        <v>5</v>
      </c>
      <c r="F430" s="6">
        <v>367.32</v>
      </c>
      <c r="G430" s="6">
        <v>0.28999999999999998</v>
      </c>
      <c r="H430" s="6" t="s">
        <v>10</v>
      </c>
      <c r="I430" s="10" t="s">
        <v>11</v>
      </c>
    </row>
    <row r="431" spans="1:9" x14ac:dyDescent="0.3">
      <c r="A431" s="7">
        <v>10430</v>
      </c>
      <c r="B431" s="11">
        <v>44991</v>
      </c>
      <c r="C431" s="8">
        <v>2087</v>
      </c>
      <c r="D431" s="8" t="s">
        <v>9</v>
      </c>
      <c r="E431" s="8">
        <v>9</v>
      </c>
      <c r="F431" s="8">
        <v>426.33</v>
      </c>
      <c r="G431" s="8">
        <v>0.24</v>
      </c>
      <c r="H431" s="8" t="s">
        <v>17</v>
      </c>
      <c r="I431" s="12" t="s">
        <v>18</v>
      </c>
    </row>
    <row r="432" spans="1:9" x14ac:dyDescent="0.3">
      <c r="A432" s="5">
        <v>10431</v>
      </c>
      <c r="B432" s="9">
        <v>44992</v>
      </c>
      <c r="C432" s="6">
        <v>2015</v>
      </c>
      <c r="D432" s="6" t="s">
        <v>12</v>
      </c>
      <c r="E432" s="6">
        <v>1</v>
      </c>
      <c r="F432" s="6">
        <v>337.36</v>
      </c>
      <c r="G432" s="6">
        <v>0.15</v>
      </c>
      <c r="H432" s="6" t="s">
        <v>13</v>
      </c>
      <c r="I432" s="10" t="s">
        <v>18</v>
      </c>
    </row>
    <row r="433" spans="1:9" x14ac:dyDescent="0.3">
      <c r="A433" s="7">
        <v>10432</v>
      </c>
      <c r="B433" s="11">
        <v>44993</v>
      </c>
      <c r="C433" s="8">
        <v>2092</v>
      </c>
      <c r="D433" s="8" t="s">
        <v>19</v>
      </c>
      <c r="E433" s="8">
        <v>9</v>
      </c>
      <c r="F433" s="8">
        <v>405.72</v>
      </c>
      <c r="G433" s="8">
        <v>0.1</v>
      </c>
      <c r="H433" s="8" t="s">
        <v>13</v>
      </c>
      <c r="I433" s="12" t="s">
        <v>11</v>
      </c>
    </row>
    <row r="434" spans="1:9" x14ac:dyDescent="0.3">
      <c r="A434" s="5">
        <v>10433</v>
      </c>
      <c r="B434" s="9">
        <v>44994</v>
      </c>
      <c r="C434" s="6">
        <v>2098</v>
      </c>
      <c r="D434" s="6" t="s">
        <v>9</v>
      </c>
      <c r="E434" s="6">
        <v>8</v>
      </c>
      <c r="F434" s="6">
        <v>384.49</v>
      </c>
      <c r="G434" s="6">
        <v>0.26</v>
      </c>
      <c r="H434" s="6" t="s">
        <v>15</v>
      </c>
      <c r="I434" s="10" t="s">
        <v>18</v>
      </c>
    </row>
    <row r="435" spans="1:9" x14ac:dyDescent="0.3">
      <c r="A435" s="7">
        <v>10434</v>
      </c>
      <c r="B435" s="11">
        <v>44995</v>
      </c>
      <c r="C435" s="8">
        <v>2066</v>
      </c>
      <c r="D435" s="8" t="s">
        <v>14</v>
      </c>
      <c r="E435" s="8">
        <v>4</v>
      </c>
      <c r="F435" s="8">
        <v>79.099999999999994</v>
      </c>
      <c r="G435" s="8">
        <v>0.16</v>
      </c>
      <c r="H435" s="8" t="s">
        <v>10</v>
      </c>
      <c r="I435" s="12" t="s">
        <v>11</v>
      </c>
    </row>
    <row r="436" spans="1:9" x14ac:dyDescent="0.3">
      <c r="A436" s="5">
        <v>10435</v>
      </c>
      <c r="B436" s="9">
        <v>44996</v>
      </c>
      <c r="C436" s="6">
        <v>2032</v>
      </c>
      <c r="D436" s="6" t="s">
        <v>12</v>
      </c>
      <c r="E436" s="6">
        <v>5</v>
      </c>
      <c r="F436" s="6">
        <v>214.85</v>
      </c>
      <c r="G436" s="6">
        <v>0.23</v>
      </c>
      <c r="H436" s="6" t="s">
        <v>13</v>
      </c>
      <c r="I436" s="10" t="s">
        <v>11</v>
      </c>
    </row>
    <row r="437" spans="1:9" x14ac:dyDescent="0.3">
      <c r="A437" s="7">
        <v>10436</v>
      </c>
      <c r="B437" s="11">
        <v>44997</v>
      </c>
      <c r="C437" s="8">
        <v>2087</v>
      </c>
      <c r="D437" s="8" t="s">
        <v>19</v>
      </c>
      <c r="E437" s="8">
        <v>5</v>
      </c>
      <c r="F437" s="8">
        <v>80.73</v>
      </c>
      <c r="G437" s="8">
        <v>0.23</v>
      </c>
      <c r="H437" s="8" t="s">
        <v>13</v>
      </c>
      <c r="I437" s="12" t="s">
        <v>11</v>
      </c>
    </row>
    <row r="438" spans="1:9" x14ac:dyDescent="0.3">
      <c r="A438" s="5">
        <v>10437</v>
      </c>
      <c r="B438" s="9">
        <v>44998</v>
      </c>
      <c r="C438" s="6">
        <v>2063</v>
      </c>
      <c r="D438" s="6" t="s">
        <v>16</v>
      </c>
      <c r="E438" s="6">
        <v>6</v>
      </c>
      <c r="F438" s="6">
        <v>121.44</v>
      </c>
      <c r="G438" s="6">
        <v>0.01</v>
      </c>
      <c r="H438" s="6" t="s">
        <v>17</v>
      </c>
      <c r="I438" s="10" t="s">
        <v>11</v>
      </c>
    </row>
    <row r="439" spans="1:9" x14ac:dyDescent="0.3">
      <c r="A439" s="7">
        <v>10438</v>
      </c>
      <c r="B439" s="11">
        <v>44999</v>
      </c>
      <c r="C439" s="8">
        <v>2086</v>
      </c>
      <c r="D439" s="8" t="s">
        <v>9</v>
      </c>
      <c r="E439" s="8">
        <v>7</v>
      </c>
      <c r="F439" s="8">
        <v>435.28</v>
      </c>
      <c r="G439" s="8">
        <v>0.04</v>
      </c>
      <c r="H439" s="8" t="s">
        <v>20</v>
      </c>
      <c r="I439" s="12" t="s">
        <v>18</v>
      </c>
    </row>
    <row r="440" spans="1:9" x14ac:dyDescent="0.3">
      <c r="A440" s="5">
        <v>10439</v>
      </c>
      <c r="B440" s="9">
        <v>45000</v>
      </c>
      <c r="C440" s="6">
        <v>2051</v>
      </c>
      <c r="D440" s="6" t="s">
        <v>12</v>
      </c>
      <c r="E440" s="6">
        <v>8</v>
      </c>
      <c r="F440" s="6">
        <v>239.08</v>
      </c>
      <c r="G440" s="6">
        <v>0.2</v>
      </c>
      <c r="H440" s="6" t="s">
        <v>15</v>
      </c>
      <c r="I440" s="10" t="s">
        <v>18</v>
      </c>
    </row>
    <row r="441" spans="1:9" x14ac:dyDescent="0.3">
      <c r="A441" s="7">
        <v>10440</v>
      </c>
      <c r="B441" s="11">
        <v>45001</v>
      </c>
      <c r="C441" s="8">
        <v>2025</v>
      </c>
      <c r="D441" s="8" t="s">
        <v>12</v>
      </c>
      <c r="E441" s="8">
        <v>8</v>
      </c>
      <c r="F441" s="8">
        <v>270</v>
      </c>
      <c r="G441" s="8">
        <v>0.05</v>
      </c>
      <c r="H441" s="8" t="s">
        <v>15</v>
      </c>
      <c r="I441" s="12" t="s">
        <v>18</v>
      </c>
    </row>
    <row r="442" spans="1:9" x14ac:dyDescent="0.3">
      <c r="A442" s="5">
        <v>10441</v>
      </c>
      <c r="B442" s="9">
        <v>45002</v>
      </c>
      <c r="C442" s="6">
        <v>2058</v>
      </c>
      <c r="D442" s="6" t="s">
        <v>14</v>
      </c>
      <c r="E442" s="6">
        <v>2</v>
      </c>
      <c r="F442" s="6">
        <v>93.33</v>
      </c>
      <c r="G442" s="6">
        <v>0.08</v>
      </c>
      <c r="H442" s="6" t="s">
        <v>20</v>
      </c>
      <c r="I442" s="10" t="s">
        <v>18</v>
      </c>
    </row>
    <row r="443" spans="1:9" x14ac:dyDescent="0.3">
      <c r="A443" s="7">
        <v>10442</v>
      </c>
      <c r="B443" s="11">
        <v>45003</v>
      </c>
      <c r="C443" s="8">
        <v>2063</v>
      </c>
      <c r="D443" s="8" t="s">
        <v>14</v>
      </c>
      <c r="E443" s="8">
        <v>9</v>
      </c>
      <c r="F443" s="8">
        <v>159.57</v>
      </c>
      <c r="G443" s="8">
        <v>0.28000000000000003</v>
      </c>
      <c r="H443" s="8" t="s">
        <v>13</v>
      </c>
      <c r="I443" s="12" t="s">
        <v>18</v>
      </c>
    </row>
    <row r="444" spans="1:9" x14ac:dyDescent="0.3">
      <c r="A444" s="5">
        <v>10443</v>
      </c>
      <c r="B444" s="9">
        <v>45004</v>
      </c>
      <c r="C444" s="6">
        <v>2062</v>
      </c>
      <c r="D444" s="6" t="s">
        <v>16</v>
      </c>
      <c r="E444" s="6">
        <v>7</v>
      </c>
      <c r="F444" s="6">
        <v>118.97</v>
      </c>
      <c r="G444" s="6">
        <v>0.17</v>
      </c>
      <c r="H444" s="6" t="s">
        <v>17</v>
      </c>
      <c r="I444" s="10" t="s">
        <v>11</v>
      </c>
    </row>
    <row r="445" spans="1:9" x14ac:dyDescent="0.3">
      <c r="A445" s="7">
        <v>10444</v>
      </c>
      <c r="B445" s="11">
        <v>45005</v>
      </c>
      <c r="C445" s="8">
        <v>2022</v>
      </c>
      <c r="D445" s="8" t="s">
        <v>16</v>
      </c>
      <c r="E445" s="8">
        <v>4</v>
      </c>
      <c r="F445" s="8">
        <v>107.06</v>
      </c>
      <c r="G445" s="8">
        <v>0.23</v>
      </c>
      <c r="H445" s="8" t="s">
        <v>17</v>
      </c>
      <c r="I445" s="12" t="s">
        <v>18</v>
      </c>
    </row>
    <row r="446" spans="1:9" x14ac:dyDescent="0.3">
      <c r="A446" s="5">
        <v>10445</v>
      </c>
      <c r="B446" s="9">
        <v>45006</v>
      </c>
      <c r="C446" s="6">
        <v>2058</v>
      </c>
      <c r="D446" s="6" t="s">
        <v>19</v>
      </c>
      <c r="E446" s="6">
        <v>4</v>
      </c>
      <c r="F446" s="6">
        <v>320.79000000000002</v>
      </c>
      <c r="G446" s="6">
        <v>0.17</v>
      </c>
      <c r="H446" s="6" t="s">
        <v>15</v>
      </c>
      <c r="I446" s="10" t="s">
        <v>18</v>
      </c>
    </row>
    <row r="447" spans="1:9" x14ac:dyDescent="0.3">
      <c r="A447" s="7">
        <v>10446</v>
      </c>
      <c r="B447" s="11">
        <v>45007</v>
      </c>
      <c r="C447" s="8">
        <v>2058</v>
      </c>
      <c r="D447" s="8" t="s">
        <v>19</v>
      </c>
      <c r="E447" s="8">
        <v>8</v>
      </c>
      <c r="F447" s="8">
        <v>132.16</v>
      </c>
      <c r="G447" s="8">
        <v>0.17</v>
      </c>
      <c r="H447" s="8" t="s">
        <v>17</v>
      </c>
      <c r="I447" s="12" t="s">
        <v>18</v>
      </c>
    </row>
    <row r="448" spans="1:9" x14ac:dyDescent="0.3">
      <c r="A448" s="5">
        <v>10447</v>
      </c>
      <c r="B448" s="9">
        <v>45008</v>
      </c>
      <c r="C448" s="6">
        <v>2086</v>
      </c>
      <c r="D448" s="6" t="s">
        <v>16</v>
      </c>
      <c r="E448" s="6">
        <v>4</v>
      </c>
      <c r="F448" s="6">
        <v>317.85000000000002</v>
      </c>
      <c r="G448" s="6">
        <v>0.03</v>
      </c>
      <c r="H448" s="6" t="s">
        <v>20</v>
      </c>
      <c r="I448" s="10" t="s">
        <v>11</v>
      </c>
    </row>
    <row r="449" spans="1:9" x14ac:dyDescent="0.3">
      <c r="A449" s="7">
        <v>10448</v>
      </c>
      <c r="B449" s="11">
        <v>45009</v>
      </c>
      <c r="C449" s="8">
        <v>2049</v>
      </c>
      <c r="D449" s="8" t="s">
        <v>16</v>
      </c>
      <c r="E449" s="8">
        <v>6</v>
      </c>
      <c r="F449" s="8">
        <v>33.94</v>
      </c>
      <c r="G449" s="8">
        <v>0.1</v>
      </c>
      <c r="H449" s="8" t="s">
        <v>13</v>
      </c>
      <c r="I449" s="12" t="s">
        <v>11</v>
      </c>
    </row>
    <row r="450" spans="1:9" x14ac:dyDescent="0.3">
      <c r="A450" s="5">
        <v>10449</v>
      </c>
      <c r="B450" s="9">
        <v>45010</v>
      </c>
      <c r="C450" s="6">
        <v>2052</v>
      </c>
      <c r="D450" s="6" t="s">
        <v>9</v>
      </c>
      <c r="E450" s="6">
        <v>5</v>
      </c>
      <c r="F450" s="6">
        <v>75.180000000000007</v>
      </c>
      <c r="G450" s="6">
        <v>0.08</v>
      </c>
      <c r="H450" s="6" t="s">
        <v>20</v>
      </c>
      <c r="I450" s="10" t="s">
        <v>18</v>
      </c>
    </row>
    <row r="451" spans="1:9" x14ac:dyDescent="0.3">
      <c r="A451" s="7">
        <v>10450</v>
      </c>
      <c r="B451" s="11">
        <v>45011</v>
      </c>
      <c r="C451" s="8">
        <v>2042</v>
      </c>
      <c r="D451" s="8" t="s">
        <v>14</v>
      </c>
      <c r="E451" s="8">
        <v>3</v>
      </c>
      <c r="F451" s="8">
        <v>140.9</v>
      </c>
      <c r="G451" s="8">
        <v>0.12</v>
      </c>
      <c r="H451" s="8" t="s">
        <v>10</v>
      </c>
      <c r="I451" s="12" t="s">
        <v>11</v>
      </c>
    </row>
    <row r="452" spans="1:9" x14ac:dyDescent="0.3">
      <c r="A452" s="5">
        <v>10451</v>
      </c>
      <c r="B452" s="9">
        <v>45012</v>
      </c>
      <c r="C452" s="6">
        <v>2070</v>
      </c>
      <c r="D452" s="6" t="s">
        <v>19</v>
      </c>
      <c r="E452" s="6">
        <v>2</v>
      </c>
      <c r="F452" s="6">
        <v>300.54000000000002</v>
      </c>
      <c r="G452" s="6">
        <v>0.24</v>
      </c>
      <c r="H452" s="6" t="s">
        <v>15</v>
      </c>
      <c r="I452" s="10" t="s">
        <v>18</v>
      </c>
    </row>
    <row r="453" spans="1:9" x14ac:dyDescent="0.3">
      <c r="A453" s="7">
        <v>10452</v>
      </c>
      <c r="B453" s="11">
        <v>45013</v>
      </c>
      <c r="C453" s="8">
        <v>2015</v>
      </c>
      <c r="D453" s="8" t="s">
        <v>14</v>
      </c>
      <c r="E453" s="8">
        <v>9</v>
      </c>
      <c r="F453" s="8">
        <v>339.54</v>
      </c>
      <c r="G453" s="8">
        <v>0.11</v>
      </c>
      <c r="H453" s="8" t="s">
        <v>17</v>
      </c>
      <c r="I453" s="12" t="s">
        <v>18</v>
      </c>
    </row>
    <row r="454" spans="1:9" x14ac:dyDescent="0.3">
      <c r="A454" s="5">
        <v>10453</v>
      </c>
      <c r="B454" s="9">
        <v>45014</v>
      </c>
      <c r="C454" s="6">
        <v>2054</v>
      </c>
      <c r="D454" s="6" t="s">
        <v>14</v>
      </c>
      <c r="E454" s="6">
        <v>9</v>
      </c>
      <c r="F454" s="6">
        <v>224.14</v>
      </c>
      <c r="G454" s="6">
        <v>0.14000000000000001</v>
      </c>
      <c r="H454" s="6" t="s">
        <v>10</v>
      </c>
      <c r="I454" s="10" t="s">
        <v>11</v>
      </c>
    </row>
    <row r="455" spans="1:9" x14ac:dyDescent="0.3">
      <c r="A455" s="7">
        <v>10454</v>
      </c>
      <c r="B455" s="11">
        <v>45015</v>
      </c>
      <c r="C455" s="8">
        <v>2060</v>
      </c>
      <c r="D455" s="8" t="s">
        <v>16</v>
      </c>
      <c r="E455" s="8">
        <v>1</v>
      </c>
      <c r="F455" s="8">
        <v>225.67</v>
      </c>
      <c r="G455" s="8">
        <v>0.12</v>
      </c>
      <c r="H455" s="8" t="s">
        <v>17</v>
      </c>
      <c r="I455" s="12" t="s">
        <v>11</v>
      </c>
    </row>
    <row r="456" spans="1:9" x14ac:dyDescent="0.3">
      <c r="A456" s="5">
        <v>10455</v>
      </c>
      <c r="B456" s="9">
        <v>45016</v>
      </c>
      <c r="C456" s="6">
        <v>2097</v>
      </c>
      <c r="D456" s="6" t="s">
        <v>9</v>
      </c>
      <c r="E456" s="6">
        <v>3</v>
      </c>
      <c r="F456" s="6">
        <v>363.64</v>
      </c>
      <c r="G456" s="6">
        <v>0.03</v>
      </c>
      <c r="H456" s="6" t="s">
        <v>13</v>
      </c>
      <c r="I456" s="10" t="s">
        <v>18</v>
      </c>
    </row>
    <row r="457" spans="1:9" x14ac:dyDescent="0.3">
      <c r="A457" s="7">
        <v>10456</v>
      </c>
      <c r="B457" s="11">
        <v>45017</v>
      </c>
      <c r="C457" s="8">
        <v>2008</v>
      </c>
      <c r="D457" s="8" t="s">
        <v>12</v>
      </c>
      <c r="E457" s="8">
        <v>8</v>
      </c>
      <c r="F457" s="8">
        <v>12.83</v>
      </c>
      <c r="G457" s="8">
        <v>0.13</v>
      </c>
      <c r="H457" s="8" t="s">
        <v>13</v>
      </c>
      <c r="I457" s="12" t="s">
        <v>18</v>
      </c>
    </row>
    <row r="458" spans="1:9" x14ac:dyDescent="0.3">
      <c r="A458" s="5">
        <v>10457</v>
      </c>
      <c r="B458" s="9">
        <v>45018</v>
      </c>
      <c r="C458" s="6">
        <v>2053</v>
      </c>
      <c r="D458" s="6" t="s">
        <v>9</v>
      </c>
      <c r="E458" s="6">
        <v>6</v>
      </c>
      <c r="F458" s="6">
        <v>173.84</v>
      </c>
      <c r="G458" s="6">
        <v>0.06</v>
      </c>
      <c r="H458" s="6" t="s">
        <v>13</v>
      </c>
      <c r="I458" s="10" t="s">
        <v>11</v>
      </c>
    </row>
    <row r="459" spans="1:9" x14ac:dyDescent="0.3">
      <c r="A459" s="7">
        <v>10458</v>
      </c>
      <c r="B459" s="11">
        <v>45019</v>
      </c>
      <c r="C459" s="8">
        <v>2060</v>
      </c>
      <c r="D459" s="8" t="s">
        <v>9</v>
      </c>
      <c r="E459" s="8">
        <v>5</v>
      </c>
      <c r="F459" s="8">
        <v>410.26</v>
      </c>
      <c r="G459" s="8">
        <v>0.06</v>
      </c>
      <c r="H459" s="8" t="s">
        <v>17</v>
      </c>
      <c r="I459" s="12" t="s">
        <v>18</v>
      </c>
    </row>
    <row r="460" spans="1:9" x14ac:dyDescent="0.3">
      <c r="A460" s="5">
        <v>10459</v>
      </c>
      <c r="B460" s="9">
        <v>45020</v>
      </c>
      <c r="C460" s="6">
        <v>2005</v>
      </c>
      <c r="D460" s="6" t="s">
        <v>14</v>
      </c>
      <c r="E460" s="6">
        <v>5</v>
      </c>
      <c r="F460" s="6">
        <v>303.58999999999997</v>
      </c>
      <c r="G460" s="6">
        <v>0.03</v>
      </c>
      <c r="H460" s="6" t="s">
        <v>10</v>
      </c>
      <c r="I460" s="10" t="s">
        <v>11</v>
      </c>
    </row>
    <row r="461" spans="1:9" x14ac:dyDescent="0.3">
      <c r="A461" s="7">
        <v>10460</v>
      </c>
      <c r="B461" s="11">
        <v>45021</v>
      </c>
      <c r="C461" s="8">
        <v>2068</v>
      </c>
      <c r="D461" s="8" t="s">
        <v>9</v>
      </c>
      <c r="E461" s="8">
        <v>6</v>
      </c>
      <c r="F461" s="8">
        <v>171.93</v>
      </c>
      <c r="G461" s="8">
        <v>0.11</v>
      </c>
      <c r="H461" s="8" t="s">
        <v>13</v>
      </c>
      <c r="I461" s="12" t="s">
        <v>18</v>
      </c>
    </row>
    <row r="462" spans="1:9" x14ac:dyDescent="0.3">
      <c r="A462" s="5">
        <v>10461</v>
      </c>
      <c r="B462" s="9">
        <v>45022</v>
      </c>
      <c r="C462" s="6">
        <v>2006</v>
      </c>
      <c r="D462" s="6" t="s">
        <v>19</v>
      </c>
      <c r="E462" s="6">
        <v>7</v>
      </c>
      <c r="F462" s="6">
        <v>453.23</v>
      </c>
      <c r="G462" s="6">
        <v>0.23</v>
      </c>
      <c r="H462" s="6" t="s">
        <v>10</v>
      </c>
      <c r="I462" s="10" t="s">
        <v>11</v>
      </c>
    </row>
    <row r="463" spans="1:9" x14ac:dyDescent="0.3">
      <c r="A463" s="7">
        <v>10462</v>
      </c>
      <c r="B463" s="11">
        <v>45023</v>
      </c>
      <c r="C463" s="8">
        <v>2096</v>
      </c>
      <c r="D463" s="8" t="s">
        <v>14</v>
      </c>
      <c r="E463" s="8">
        <v>1</v>
      </c>
      <c r="F463" s="8">
        <v>387.45</v>
      </c>
      <c r="G463" s="8">
        <v>0.08</v>
      </c>
      <c r="H463" s="8" t="s">
        <v>17</v>
      </c>
      <c r="I463" s="12" t="s">
        <v>18</v>
      </c>
    </row>
    <row r="464" spans="1:9" x14ac:dyDescent="0.3">
      <c r="A464" s="5">
        <v>10463</v>
      </c>
      <c r="B464" s="9">
        <v>45024</v>
      </c>
      <c r="C464" s="6">
        <v>2094</v>
      </c>
      <c r="D464" s="6" t="s">
        <v>19</v>
      </c>
      <c r="E464" s="6">
        <v>9</v>
      </c>
      <c r="F464" s="6">
        <v>136.12</v>
      </c>
      <c r="G464" s="6">
        <v>0.09</v>
      </c>
      <c r="H464" s="6" t="s">
        <v>10</v>
      </c>
      <c r="I464" s="10" t="s">
        <v>18</v>
      </c>
    </row>
    <row r="465" spans="1:9" x14ac:dyDescent="0.3">
      <c r="A465" s="7">
        <v>10464</v>
      </c>
      <c r="B465" s="11">
        <v>45025</v>
      </c>
      <c r="C465" s="8">
        <v>2047</v>
      </c>
      <c r="D465" s="8" t="s">
        <v>12</v>
      </c>
      <c r="E465" s="8">
        <v>3</v>
      </c>
      <c r="F465" s="8">
        <v>324.42</v>
      </c>
      <c r="G465" s="8">
        <v>0.19</v>
      </c>
      <c r="H465" s="8" t="s">
        <v>17</v>
      </c>
      <c r="I465" s="12" t="s">
        <v>11</v>
      </c>
    </row>
    <row r="466" spans="1:9" x14ac:dyDescent="0.3">
      <c r="A466" s="5">
        <v>10465</v>
      </c>
      <c r="B466" s="9">
        <v>45026</v>
      </c>
      <c r="C466" s="6">
        <v>2099</v>
      </c>
      <c r="D466" s="6" t="s">
        <v>14</v>
      </c>
      <c r="E466" s="6">
        <v>4</v>
      </c>
      <c r="F466" s="6">
        <v>299.89999999999998</v>
      </c>
      <c r="G466" s="6">
        <v>0.06</v>
      </c>
      <c r="H466" s="6" t="s">
        <v>17</v>
      </c>
      <c r="I466" s="10" t="s">
        <v>18</v>
      </c>
    </row>
    <row r="467" spans="1:9" x14ac:dyDescent="0.3">
      <c r="A467" s="7">
        <v>10466</v>
      </c>
      <c r="B467" s="11">
        <v>45027</v>
      </c>
      <c r="C467" s="8">
        <v>2055</v>
      </c>
      <c r="D467" s="8" t="s">
        <v>12</v>
      </c>
      <c r="E467" s="8">
        <v>1</v>
      </c>
      <c r="F467" s="8">
        <v>203.59</v>
      </c>
      <c r="G467" s="8">
        <v>0.27</v>
      </c>
      <c r="H467" s="8" t="s">
        <v>15</v>
      </c>
      <c r="I467" s="12" t="s">
        <v>18</v>
      </c>
    </row>
    <row r="468" spans="1:9" x14ac:dyDescent="0.3">
      <c r="A468" s="5">
        <v>10467</v>
      </c>
      <c r="B468" s="9">
        <v>45028</v>
      </c>
      <c r="C468" s="6">
        <v>2040</v>
      </c>
      <c r="D468" s="6" t="s">
        <v>14</v>
      </c>
      <c r="E468" s="6">
        <v>3</v>
      </c>
      <c r="F468" s="6">
        <v>186.64</v>
      </c>
      <c r="G468" s="6">
        <v>0.16</v>
      </c>
      <c r="H468" s="6" t="s">
        <v>17</v>
      </c>
      <c r="I468" s="10" t="s">
        <v>11</v>
      </c>
    </row>
    <row r="469" spans="1:9" x14ac:dyDescent="0.3">
      <c r="A469" s="7">
        <v>10468</v>
      </c>
      <c r="B469" s="11">
        <v>45029</v>
      </c>
      <c r="C469" s="8">
        <v>2052</v>
      </c>
      <c r="D469" s="8" t="s">
        <v>16</v>
      </c>
      <c r="E469" s="8">
        <v>2</v>
      </c>
      <c r="F469" s="8">
        <v>175.06</v>
      </c>
      <c r="G469" s="8">
        <v>0.13</v>
      </c>
      <c r="H469" s="8" t="s">
        <v>17</v>
      </c>
      <c r="I469" s="12" t="s">
        <v>18</v>
      </c>
    </row>
    <row r="470" spans="1:9" x14ac:dyDescent="0.3">
      <c r="A470" s="5">
        <v>10469</v>
      </c>
      <c r="B470" s="9">
        <v>45030</v>
      </c>
      <c r="C470" s="6">
        <v>2016</v>
      </c>
      <c r="D470" s="6" t="s">
        <v>9</v>
      </c>
      <c r="E470" s="6">
        <v>2</v>
      </c>
      <c r="F470" s="6">
        <v>310.49</v>
      </c>
      <c r="G470" s="6">
        <v>0.17</v>
      </c>
      <c r="H470" s="6" t="s">
        <v>20</v>
      </c>
      <c r="I470" s="10" t="s">
        <v>18</v>
      </c>
    </row>
    <row r="471" spans="1:9" x14ac:dyDescent="0.3">
      <c r="A471" s="7">
        <v>10470</v>
      </c>
      <c r="B471" s="11">
        <v>45031</v>
      </c>
      <c r="C471" s="8">
        <v>2013</v>
      </c>
      <c r="D471" s="8" t="s">
        <v>16</v>
      </c>
      <c r="E471" s="8">
        <v>1</v>
      </c>
      <c r="F471" s="8">
        <v>223.99</v>
      </c>
      <c r="G471" s="8">
        <v>0.05</v>
      </c>
      <c r="H471" s="8" t="s">
        <v>13</v>
      </c>
      <c r="I471" s="12" t="s">
        <v>18</v>
      </c>
    </row>
    <row r="472" spans="1:9" x14ac:dyDescent="0.3">
      <c r="A472" s="5">
        <v>10471</v>
      </c>
      <c r="B472" s="9">
        <v>45032</v>
      </c>
      <c r="C472" s="6">
        <v>2030</v>
      </c>
      <c r="D472" s="6" t="s">
        <v>12</v>
      </c>
      <c r="E472" s="6">
        <v>8</v>
      </c>
      <c r="F472" s="6">
        <v>416.77</v>
      </c>
      <c r="G472" s="6">
        <v>0.18</v>
      </c>
      <c r="H472" s="6" t="s">
        <v>15</v>
      </c>
      <c r="I472" s="10" t="s">
        <v>11</v>
      </c>
    </row>
    <row r="473" spans="1:9" x14ac:dyDescent="0.3">
      <c r="A473" s="7">
        <v>10472</v>
      </c>
      <c r="B473" s="11">
        <v>45033</v>
      </c>
      <c r="C473" s="8">
        <v>2019</v>
      </c>
      <c r="D473" s="8" t="s">
        <v>9</v>
      </c>
      <c r="E473" s="8">
        <v>3</v>
      </c>
      <c r="F473" s="8">
        <v>336.45</v>
      </c>
      <c r="G473" s="8">
        <v>0.11</v>
      </c>
      <c r="H473" s="8" t="s">
        <v>15</v>
      </c>
      <c r="I473" s="12" t="s">
        <v>11</v>
      </c>
    </row>
    <row r="474" spans="1:9" x14ac:dyDescent="0.3">
      <c r="A474" s="5">
        <v>10473</v>
      </c>
      <c r="B474" s="9">
        <v>45034</v>
      </c>
      <c r="C474" s="6">
        <v>2017</v>
      </c>
      <c r="D474" s="6" t="s">
        <v>14</v>
      </c>
      <c r="E474" s="6">
        <v>3</v>
      </c>
      <c r="F474" s="6">
        <v>39.619999999999997</v>
      </c>
      <c r="G474" s="6">
        <v>0.27</v>
      </c>
      <c r="H474" s="6" t="s">
        <v>15</v>
      </c>
      <c r="I474" s="10" t="s">
        <v>11</v>
      </c>
    </row>
    <row r="475" spans="1:9" x14ac:dyDescent="0.3">
      <c r="A475" s="7">
        <v>10474</v>
      </c>
      <c r="B475" s="11">
        <v>45035</v>
      </c>
      <c r="C475" s="8">
        <v>2063</v>
      </c>
      <c r="D475" s="8" t="s">
        <v>9</v>
      </c>
      <c r="E475" s="8">
        <v>6</v>
      </c>
      <c r="F475" s="8">
        <v>321.88</v>
      </c>
      <c r="G475" s="8">
        <v>0.05</v>
      </c>
      <c r="H475" s="8" t="s">
        <v>20</v>
      </c>
      <c r="I475" s="12" t="s">
        <v>18</v>
      </c>
    </row>
    <row r="476" spans="1:9" x14ac:dyDescent="0.3">
      <c r="A476" s="5">
        <v>10475</v>
      </c>
      <c r="B476" s="9">
        <v>45036</v>
      </c>
      <c r="C476" s="6">
        <v>2019</v>
      </c>
      <c r="D476" s="6" t="s">
        <v>19</v>
      </c>
      <c r="E476" s="6">
        <v>8</v>
      </c>
      <c r="F476" s="6">
        <v>139.22</v>
      </c>
      <c r="G476" s="6">
        <v>0.15</v>
      </c>
      <c r="H476" s="6" t="s">
        <v>17</v>
      </c>
      <c r="I476" s="10" t="s">
        <v>18</v>
      </c>
    </row>
    <row r="477" spans="1:9" x14ac:dyDescent="0.3">
      <c r="A477" s="7">
        <v>10476</v>
      </c>
      <c r="B477" s="11">
        <v>45037</v>
      </c>
      <c r="C477" s="8">
        <v>2092</v>
      </c>
      <c r="D477" s="8" t="s">
        <v>9</v>
      </c>
      <c r="E477" s="8">
        <v>9</v>
      </c>
      <c r="F477" s="8">
        <v>298.44</v>
      </c>
      <c r="G477" s="8">
        <v>0.18</v>
      </c>
      <c r="H477" s="8" t="s">
        <v>13</v>
      </c>
      <c r="I477" s="12" t="s">
        <v>18</v>
      </c>
    </row>
    <row r="478" spans="1:9" x14ac:dyDescent="0.3">
      <c r="A478" s="5">
        <v>10477</v>
      </c>
      <c r="B478" s="9">
        <v>45038</v>
      </c>
      <c r="C478" s="6">
        <v>2058</v>
      </c>
      <c r="D478" s="6" t="s">
        <v>19</v>
      </c>
      <c r="E478" s="6">
        <v>9</v>
      </c>
      <c r="F478" s="6">
        <v>341.67</v>
      </c>
      <c r="G478" s="6">
        <v>0.01</v>
      </c>
      <c r="H478" s="6" t="s">
        <v>10</v>
      </c>
      <c r="I478" s="10" t="s">
        <v>18</v>
      </c>
    </row>
    <row r="479" spans="1:9" x14ac:dyDescent="0.3">
      <c r="A479" s="7">
        <v>10478</v>
      </c>
      <c r="B479" s="11">
        <v>45039</v>
      </c>
      <c r="C479" s="8">
        <v>2055</v>
      </c>
      <c r="D479" s="8" t="s">
        <v>9</v>
      </c>
      <c r="E479" s="8">
        <v>4</v>
      </c>
      <c r="F479" s="8">
        <v>119.26</v>
      </c>
      <c r="G479" s="8">
        <v>0.11</v>
      </c>
      <c r="H479" s="8" t="s">
        <v>17</v>
      </c>
      <c r="I479" s="12" t="s">
        <v>11</v>
      </c>
    </row>
    <row r="480" spans="1:9" x14ac:dyDescent="0.3">
      <c r="A480" s="5">
        <v>10479</v>
      </c>
      <c r="B480" s="9">
        <v>45040</v>
      </c>
      <c r="C480" s="6">
        <v>2090</v>
      </c>
      <c r="D480" s="6" t="s">
        <v>19</v>
      </c>
      <c r="E480" s="6">
        <v>5</v>
      </c>
      <c r="F480" s="6">
        <v>231.15</v>
      </c>
      <c r="G480" s="6">
        <v>0.22</v>
      </c>
      <c r="H480" s="6" t="s">
        <v>20</v>
      </c>
      <c r="I480" s="10" t="s">
        <v>18</v>
      </c>
    </row>
    <row r="481" spans="1:9" x14ac:dyDescent="0.3">
      <c r="A481" s="7">
        <v>10480</v>
      </c>
      <c r="B481" s="11">
        <v>45041</v>
      </c>
      <c r="C481" s="8">
        <v>2090</v>
      </c>
      <c r="D481" s="8" t="s">
        <v>12</v>
      </c>
      <c r="E481" s="8">
        <v>2</v>
      </c>
      <c r="F481" s="8">
        <v>99.21</v>
      </c>
      <c r="G481" s="8">
        <v>0.25</v>
      </c>
      <c r="H481" s="8" t="s">
        <v>17</v>
      </c>
      <c r="I481" s="12" t="s">
        <v>18</v>
      </c>
    </row>
    <row r="482" spans="1:9" x14ac:dyDescent="0.3">
      <c r="A482" s="5">
        <v>10481</v>
      </c>
      <c r="B482" s="9">
        <v>45042</v>
      </c>
      <c r="C482" s="6">
        <v>2062</v>
      </c>
      <c r="D482" s="6" t="s">
        <v>16</v>
      </c>
      <c r="E482" s="6">
        <v>9</v>
      </c>
      <c r="F482" s="6">
        <v>30.91</v>
      </c>
      <c r="G482" s="6">
        <v>0.09</v>
      </c>
      <c r="H482" s="6" t="s">
        <v>17</v>
      </c>
      <c r="I482" s="10" t="s">
        <v>18</v>
      </c>
    </row>
    <row r="483" spans="1:9" x14ac:dyDescent="0.3">
      <c r="A483" s="7">
        <v>10482</v>
      </c>
      <c r="B483" s="11">
        <v>45043</v>
      </c>
      <c r="C483" s="8">
        <v>2023</v>
      </c>
      <c r="D483" s="8" t="s">
        <v>14</v>
      </c>
      <c r="E483" s="8">
        <v>8</v>
      </c>
      <c r="F483" s="8">
        <v>192.35</v>
      </c>
      <c r="G483" s="8">
        <v>0.24</v>
      </c>
      <c r="H483" s="8" t="s">
        <v>20</v>
      </c>
      <c r="I483" s="12" t="s">
        <v>11</v>
      </c>
    </row>
    <row r="484" spans="1:9" x14ac:dyDescent="0.3">
      <c r="A484" s="5">
        <v>10483</v>
      </c>
      <c r="B484" s="9">
        <v>45044</v>
      </c>
      <c r="C484" s="6">
        <v>2009</v>
      </c>
      <c r="D484" s="6" t="s">
        <v>9</v>
      </c>
      <c r="E484" s="6">
        <v>3</v>
      </c>
      <c r="F484" s="6">
        <v>184.66</v>
      </c>
      <c r="G484" s="6">
        <v>0.28999999999999998</v>
      </c>
      <c r="H484" s="6" t="s">
        <v>15</v>
      </c>
      <c r="I484" s="10" t="s">
        <v>18</v>
      </c>
    </row>
    <row r="485" spans="1:9" x14ac:dyDescent="0.3">
      <c r="A485" s="7">
        <v>10484</v>
      </c>
      <c r="B485" s="11">
        <v>45045</v>
      </c>
      <c r="C485" s="8">
        <v>2012</v>
      </c>
      <c r="D485" s="8" t="s">
        <v>16</v>
      </c>
      <c r="E485" s="8">
        <v>9</v>
      </c>
      <c r="F485" s="8">
        <v>497.76</v>
      </c>
      <c r="G485" s="8">
        <v>0.26</v>
      </c>
      <c r="H485" s="8" t="s">
        <v>15</v>
      </c>
      <c r="I485" s="12" t="s">
        <v>18</v>
      </c>
    </row>
    <row r="486" spans="1:9" x14ac:dyDescent="0.3">
      <c r="A486" s="5">
        <v>10485</v>
      </c>
      <c r="B486" s="9">
        <v>45046</v>
      </c>
      <c r="C486" s="6">
        <v>2001</v>
      </c>
      <c r="D486" s="6" t="s">
        <v>14</v>
      </c>
      <c r="E486" s="6">
        <v>3</v>
      </c>
      <c r="F486" s="6">
        <v>225.94</v>
      </c>
      <c r="G486" s="6">
        <v>0.04</v>
      </c>
      <c r="H486" s="6" t="s">
        <v>13</v>
      </c>
      <c r="I486" s="10" t="s">
        <v>18</v>
      </c>
    </row>
    <row r="487" spans="1:9" x14ac:dyDescent="0.3">
      <c r="A487" s="7">
        <v>10486</v>
      </c>
      <c r="B487" s="11">
        <v>45047</v>
      </c>
      <c r="C487" s="8">
        <v>2058</v>
      </c>
      <c r="D487" s="8" t="s">
        <v>14</v>
      </c>
      <c r="E487" s="8">
        <v>9</v>
      </c>
      <c r="F487" s="8">
        <v>170.12</v>
      </c>
      <c r="G487" s="8">
        <v>0.22</v>
      </c>
      <c r="H487" s="8" t="s">
        <v>13</v>
      </c>
      <c r="I487" s="12" t="s">
        <v>18</v>
      </c>
    </row>
    <row r="488" spans="1:9" x14ac:dyDescent="0.3">
      <c r="A488" s="5">
        <v>10487</v>
      </c>
      <c r="B488" s="9">
        <v>45048</v>
      </c>
      <c r="C488" s="6">
        <v>2001</v>
      </c>
      <c r="D488" s="6" t="s">
        <v>19</v>
      </c>
      <c r="E488" s="6">
        <v>2</v>
      </c>
      <c r="F488" s="6">
        <v>292.33999999999997</v>
      </c>
      <c r="G488" s="6">
        <v>0.1</v>
      </c>
      <c r="H488" s="6" t="s">
        <v>15</v>
      </c>
      <c r="I488" s="10" t="s">
        <v>18</v>
      </c>
    </row>
    <row r="489" spans="1:9" x14ac:dyDescent="0.3">
      <c r="A489" s="7">
        <v>10488</v>
      </c>
      <c r="B489" s="11">
        <v>45049</v>
      </c>
      <c r="C489" s="8">
        <v>2034</v>
      </c>
      <c r="D489" s="8" t="s">
        <v>12</v>
      </c>
      <c r="E489" s="8">
        <v>9</v>
      </c>
      <c r="F489" s="8">
        <v>48.94</v>
      </c>
      <c r="G489" s="8">
        <v>0.3</v>
      </c>
      <c r="H489" s="8" t="s">
        <v>10</v>
      </c>
      <c r="I489" s="12" t="s">
        <v>11</v>
      </c>
    </row>
    <row r="490" spans="1:9" x14ac:dyDescent="0.3">
      <c r="A490" s="5">
        <v>10489</v>
      </c>
      <c r="B490" s="9">
        <v>45050</v>
      </c>
      <c r="C490" s="6">
        <v>2096</v>
      </c>
      <c r="D490" s="6" t="s">
        <v>12</v>
      </c>
      <c r="E490" s="6">
        <v>8</v>
      </c>
      <c r="F490" s="6">
        <v>481.02</v>
      </c>
      <c r="G490" s="6">
        <v>0.15</v>
      </c>
      <c r="H490" s="6" t="s">
        <v>17</v>
      </c>
      <c r="I490" s="10" t="s">
        <v>18</v>
      </c>
    </row>
    <row r="491" spans="1:9" x14ac:dyDescent="0.3">
      <c r="A491" s="7">
        <v>10490</v>
      </c>
      <c r="B491" s="11">
        <v>45051</v>
      </c>
      <c r="C491" s="8">
        <v>2048</v>
      </c>
      <c r="D491" s="8" t="s">
        <v>16</v>
      </c>
      <c r="E491" s="8">
        <v>9</v>
      </c>
      <c r="F491" s="8">
        <v>319.31</v>
      </c>
      <c r="G491" s="8">
        <v>0.04</v>
      </c>
      <c r="H491" s="8" t="s">
        <v>10</v>
      </c>
      <c r="I491" s="12" t="s">
        <v>18</v>
      </c>
    </row>
    <row r="492" spans="1:9" x14ac:dyDescent="0.3">
      <c r="A492" s="5">
        <v>10491</v>
      </c>
      <c r="B492" s="9">
        <v>45052</v>
      </c>
      <c r="C492" s="6">
        <v>2089</v>
      </c>
      <c r="D492" s="6" t="s">
        <v>12</v>
      </c>
      <c r="E492" s="6">
        <v>5</v>
      </c>
      <c r="F492" s="6">
        <v>378.64</v>
      </c>
      <c r="G492" s="6">
        <v>0.22</v>
      </c>
      <c r="H492" s="6" t="s">
        <v>17</v>
      </c>
      <c r="I492" s="10" t="s">
        <v>18</v>
      </c>
    </row>
    <row r="493" spans="1:9" x14ac:dyDescent="0.3">
      <c r="A493" s="7">
        <v>10492</v>
      </c>
      <c r="B493" s="11">
        <v>45053</v>
      </c>
      <c r="C493" s="8">
        <v>2001</v>
      </c>
      <c r="D493" s="8" t="s">
        <v>9</v>
      </c>
      <c r="E493" s="8">
        <v>2</v>
      </c>
      <c r="F493" s="8">
        <v>89.39</v>
      </c>
      <c r="G493" s="8">
        <v>0.1</v>
      </c>
      <c r="H493" s="8" t="s">
        <v>15</v>
      </c>
      <c r="I493" s="12" t="s">
        <v>18</v>
      </c>
    </row>
    <row r="494" spans="1:9" x14ac:dyDescent="0.3">
      <c r="A494" s="5">
        <v>10493</v>
      </c>
      <c r="B494" s="9">
        <v>45054</v>
      </c>
      <c r="C494" s="6">
        <v>2016</v>
      </c>
      <c r="D494" s="6" t="s">
        <v>12</v>
      </c>
      <c r="E494" s="6">
        <v>8</v>
      </c>
      <c r="F494" s="6">
        <v>207.69</v>
      </c>
      <c r="G494" s="6">
        <v>0.3</v>
      </c>
      <c r="H494" s="6" t="s">
        <v>13</v>
      </c>
      <c r="I494" s="10" t="s">
        <v>18</v>
      </c>
    </row>
    <row r="495" spans="1:9" x14ac:dyDescent="0.3">
      <c r="A495" s="7">
        <v>10494</v>
      </c>
      <c r="B495" s="11">
        <v>45055</v>
      </c>
      <c r="C495" s="8">
        <v>2061</v>
      </c>
      <c r="D495" s="8" t="s">
        <v>16</v>
      </c>
      <c r="E495" s="8">
        <v>6</v>
      </c>
      <c r="F495" s="8">
        <v>214.23</v>
      </c>
      <c r="G495" s="8">
        <v>0.28999999999999998</v>
      </c>
      <c r="H495" s="8" t="s">
        <v>13</v>
      </c>
      <c r="I495" s="12" t="s">
        <v>18</v>
      </c>
    </row>
    <row r="496" spans="1:9" x14ac:dyDescent="0.3">
      <c r="A496" s="5">
        <v>10495</v>
      </c>
      <c r="B496" s="9">
        <v>45056</v>
      </c>
      <c r="C496" s="6">
        <v>2064</v>
      </c>
      <c r="D496" s="6" t="s">
        <v>12</v>
      </c>
      <c r="E496" s="6">
        <v>8</v>
      </c>
      <c r="F496" s="6">
        <v>411.79</v>
      </c>
      <c r="G496" s="6">
        <v>0.2</v>
      </c>
      <c r="H496" s="6" t="s">
        <v>10</v>
      </c>
      <c r="I496" s="10" t="s">
        <v>18</v>
      </c>
    </row>
    <row r="497" spans="1:9" x14ac:dyDescent="0.3">
      <c r="A497" s="7">
        <v>10496</v>
      </c>
      <c r="B497" s="11">
        <v>45057</v>
      </c>
      <c r="C497" s="8">
        <v>2063</v>
      </c>
      <c r="D497" s="8" t="s">
        <v>9</v>
      </c>
      <c r="E497" s="8">
        <v>5</v>
      </c>
      <c r="F497" s="8">
        <v>5.61</v>
      </c>
      <c r="G497" s="8">
        <v>0.04</v>
      </c>
      <c r="H497" s="8" t="s">
        <v>13</v>
      </c>
      <c r="I497" s="12" t="s">
        <v>18</v>
      </c>
    </row>
    <row r="498" spans="1:9" x14ac:dyDescent="0.3">
      <c r="A498" s="5">
        <v>10497</v>
      </c>
      <c r="B498" s="9">
        <v>45058</v>
      </c>
      <c r="C498" s="6">
        <v>2069</v>
      </c>
      <c r="D498" s="6" t="s">
        <v>19</v>
      </c>
      <c r="E498" s="6">
        <v>2</v>
      </c>
      <c r="F498" s="6">
        <v>153.91999999999999</v>
      </c>
      <c r="G498" s="6">
        <v>0.21</v>
      </c>
      <c r="H498" s="6" t="s">
        <v>15</v>
      </c>
      <c r="I498" s="10" t="s">
        <v>18</v>
      </c>
    </row>
    <row r="499" spans="1:9" x14ac:dyDescent="0.3">
      <c r="A499" s="7">
        <v>10498</v>
      </c>
      <c r="B499" s="11">
        <v>45059</v>
      </c>
      <c r="C499" s="8">
        <v>2022</v>
      </c>
      <c r="D499" s="8" t="s">
        <v>16</v>
      </c>
      <c r="E499" s="8">
        <v>6</v>
      </c>
      <c r="F499" s="8">
        <v>490.71</v>
      </c>
      <c r="G499" s="8">
        <v>0.03</v>
      </c>
      <c r="H499" s="8" t="s">
        <v>10</v>
      </c>
      <c r="I499" s="12" t="s">
        <v>18</v>
      </c>
    </row>
    <row r="500" spans="1:9" x14ac:dyDescent="0.3">
      <c r="A500" s="5">
        <v>10499</v>
      </c>
      <c r="B500" s="9">
        <v>45060</v>
      </c>
      <c r="C500" s="6">
        <v>2093</v>
      </c>
      <c r="D500" s="6" t="s">
        <v>19</v>
      </c>
      <c r="E500" s="6">
        <v>5</v>
      </c>
      <c r="F500" s="6">
        <v>240.07</v>
      </c>
      <c r="G500" s="6">
        <v>0.01</v>
      </c>
      <c r="H500" s="6" t="s">
        <v>17</v>
      </c>
      <c r="I500" s="10" t="s">
        <v>11</v>
      </c>
    </row>
    <row r="501" spans="1:9" x14ac:dyDescent="0.3">
      <c r="A501" s="7">
        <v>10500</v>
      </c>
      <c r="B501" s="11">
        <v>45061</v>
      </c>
      <c r="C501" s="8">
        <v>2067</v>
      </c>
      <c r="D501" s="8" t="s">
        <v>19</v>
      </c>
      <c r="E501" s="8">
        <v>5</v>
      </c>
      <c r="F501" s="8">
        <v>194.35</v>
      </c>
      <c r="G501" s="8">
        <v>0.25</v>
      </c>
      <c r="H501" s="8" t="s">
        <v>13</v>
      </c>
      <c r="I501" s="12" t="s">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86ED9E-3D5A-4507-BCDD-7C42883406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amazon-sales-analytics-dashboar</vt:lpstr>
      <vt:lpstr>amazon_store_sales_2022 (1)</vt:lpstr>
      <vt:lpstr>Detail1</vt:lpstr>
      <vt:lpstr>Sheet1</vt:lpstr>
      <vt:lpstr>Sheet2</vt:lpstr>
      <vt:lpstr>Sheet4</vt:lpstr>
      <vt:lpstr>Sheet5</vt:lpstr>
      <vt:lpstr>amazon_store_sales_2022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 tripathi</dc:creator>
  <cp:lastModifiedBy>stuti tripathi</cp:lastModifiedBy>
  <dcterms:created xsi:type="dcterms:W3CDTF">2026-09-22T07:19:53Z</dcterms:created>
  <dcterms:modified xsi:type="dcterms:W3CDTF">2026-09-22T12:27:22Z</dcterms:modified>
</cp:coreProperties>
</file>